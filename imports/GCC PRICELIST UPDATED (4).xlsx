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 PRICE LIST" sheetId="1" r:id="rId5"/>
    <sheet state="hidden" name="Summary GCC" sheetId="2" r:id="rId6"/>
  </sheets>
  <definedNames/>
  <calcPr/>
</workbook>
</file>

<file path=xl/sharedStrings.xml><?xml version="1.0" encoding="utf-8"?>
<sst xmlns="http://schemas.openxmlformats.org/spreadsheetml/2006/main" count="683" uniqueCount="250">
  <si>
    <t>RANCHERS FINEST GCC-  PRICELIST MAY,2026</t>
  </si>
  <si>
    <t>ART. NO</t>
  </si>
  <si>
    <t>BEEF</t>
  </si>
  <si>
    <t>Units / Pack</t>
  </si>
  <si>
    <t>Packs/Small Box</t>
  </si>
  <si>
    <t>Box Size</t>
  </si>
  <si>
    <t>Price / kg  Excl VAT</t>
  </si>
  <si>
    <t>Price / kg  Incl VAT</t>
  </si>
  <si>
    <t>CHOICE BEEF PORTIONED</t>
  </si>
  <si>
    <t>Small</t>
  </si>
  <si>
    <t>Medium</t>
  </si>
  <si>
    <t>Large</t>
  </si>
  <si>
    <t>WS124</t>
  </si>
  <si>
    <t>KEBABS</t>
  </si>
  <si>
    <t>KG</t>
  </si>
  <si>
    <t>kg</t>
  </si>
  <si>
    <t>WS125</t>
  </si>
  <si>
    <t>MEAT BALLS</t>
  </si>
  <si>
    <t>WS106</t>
  </si>
  <si>
    <t>BEEF SAMOSA MINCE</t>
  </si>
  <si>
    <t>WS123</t>
  </si>
  <si>
    <t>SAVORY BEEF STEW</t>
  </si>
  <si>
    <t>BURGERS</t>
  </si>
  <si>
    <t>Pack Size</t>
  </si>
  <si>
    <t>WS713</t>
  </si>
  <si>
    <t>HORECA -  CRUNCHY BEEF BURGERS</t>
  </si>
  <si>
    <t>PCS</t>
  </si>
  <si>
    <t>Pcs</t>
  </si>
  <si>
    <t>WS714</t>
  </si>
  <si>
    <t>HORECA -   CRUNCHY CHICKEN  BURGERS</t>
  </si>
  <si>
    <t>WS715</t>
  </si>
  <si>
    <t>TAKE AWAY BEEF BURGERS</t>
  </si>
  <si>
    <t>WS716</t>
  </si>
  <si>
    <t>TAKE AWAY CHICKEN BURGERS</t>
  </si>
  <si>
    <t>PORK</t>
  </si>
  <si>
    <t>WS201</t>
  </si>
  <si>
    <t xml:space="preserve">HORECA -  PORK CHOPS 160 GR </t>
  </si>
  <si>
    <t>5 x 160 gr</t>
  </si>
  <si>
    <t>WS202</t>
  </si>
  <si>
    <t>HORECA -  PORK STEW - CUBES</t>
  </si>
  <si>
    <t xml:space="preserve"> +/-  1 kg </t>
  </si>
  <si>
    <t>WS203</t>
  </si>
  <si>
    <t>HORECA -  PORK STRIPS ( for stirfry/stew)</t>
  </si>
  <si>
    <t>WS204</t>
  </si>
  <si>
    <t xml:space="preserve">HORECA -  PORK STEAKS  +-150 GR </t>
  </si>
  <si>
    <t>6 x 150 gr</t>
  </si>
  <si>
    <t>WS205</t>
  </si>
  <si>
    <t>HORECA -  PORK MINCE</t>
  </si>
  <si>
    <t>WS206</t>
  </si>
  <si>
    <t>HORECA -  BONELESS PORK LOIN</t>
  </si>
  <si>
    <t>WS207</t>
  </si>
  <si>
    <t>HORECA -  PORK BELLY</t>
  </si>
  <si>
    <t>WS208</t>
  </si>
  <si>
    <t>HORECA -  PORK RACK / SPARE RIBS</t>
  </si>
  <si>
    <t xml:space="preserve"> +/-  2 kg </t>
  </si>
  <si>
    <t>WS209</t>
  </si>
  <si>
    <t>HORECA -  PORK LEG</t>
  </si>
  <si>
    <t xml:space="preserve">+/- 3kg </t>
  </si>
  <si>
    <t>WS210</t>
  </si>
  <si>
    <t>HORECA - PORK FILLET</t>
  </si>
  <si>
    <t>2 x 500 gr</t>
  </si>
  <si>
    <t>WS211</t>
  </si>
  <si>
    <t>WHOLE PORK CARCASS</t>
  </si>
  <si>
    <t>WS212</t>
  </si>
  <si>
    <t>PORK FEET/ TROTTERS</t>
  </si>
  <si>
    <t>WS213</t>
  </si>
  <si>
    <t xml:space="preserve">PORK LIVER </t>
  </si>
  <si>
    <t>WS214</t>
  </si>
  <si>
    <t>PORK KIDNEY</t>
  </si>
  <si>
    <t>WS215</t>
  </si>
  <si>
    <t>PORK  STOMACH</t>
  </si>
  <si>
    <t>WS216</t>
  </si>
  <si>
    <t xml:space="preserve">PORK EAR </t>
  </si>
  <si>
    <t>WS217</t>
  </si>
  <si>
    <t>PORK BONES</t>
  </si>
  <si>
    <t>WS218</t>
  </si>
  <si>
    <t>PIG INTESTINES</t>
  </si>
  <si>
    <t>LAMB</t>
  </si>
  <si>
    <t>WS301</t>
  </si>
  <si>
    <t>HORECA -   LAMB LEG with bone</t>
  </si>
  <si>
    <t xml:space="preserve"> +/- 2,5 kg</t>
  </si>
  <si>
    <t>WS302</t>
  </si>
  <si>
    <t>HORECA -   LAMB STEW</t>
  </si>
  <si>
    <t>WS305</t>
  </si>
  <si>
    <t>HORECA  -  WHOLE LAMB CARCASS</t>
  </si>
  <si>
    <t>GOAT</t>
  </si>
  <si>
    <t>WS401</t>
  </si>
  <si>
    <t>HORECA -  GOAT LEG with bone</t>
  </si>
  <si>
    <t>WS402</t>
  </si>
  <si>
    <t>HORECA -  GOAT STEW</t>
  </si>
  <si>
    <t>WS405</t>
  </si>
  <si>
    <t>HORECA -  WHOLE GOAT CARCASS</t>
  </si>
  <si>
    <t>SAUSAGES</t>
  </si>
  <si>
    <t>VALUE PACKS</t>
  </si>
  <si>
    <t>WS801</t>
  </si>
  <si>
    <t>HORECA - CATERING SAUSAGES BEEF</t>
  </si>
  <si>
    <t>1 kg</t>
  </si>
  <si>
    <t>WS802</t>
  </si>
  <si>
    <t>HORECA - CATERING SAUSAGES PORK</t>
  </si>
  <si>
    <t>WS803</t>
  </si>
  <si>
    <t>HORECA - CATERING SAUSAGES CHICKEN</t>
  </si>
  <si>
    <t>WS804</t>
  </si>
  <si>
    <t>HORECA - SMOKIES BEEF</t>
  </si>
  <si>
    <t>WS805</t>
  </si>
  <si>
    <t>HORECA - SMOKIES BEEF CHILLI</t>
  </si>
  <si>
    <t>WS806</t>
  </si>
  <si>
    <t>HORECA - RUSSIAN SAUSAGES</t>
  </si>
  <si>
    <t>WS807</t>
  </si>
  <si>
    <t>HORECA - CATERING BBQ SAUSAGES BEEF</t>
  </si>
  <si>
    <t>WS808</t>
  </si>
  <si>
    <t>HORECA - CATERING BBQ SAUSAGES BEEF CHILLI</t>
  </si>
  <si>
    <t>PREMIUM SAUSAGES</t>
  </si>
  <si>
    <t>WS809</t>
  </si>
  <si>
    <t>HORECA - ENGLISH BEEF SAUSAGES</t>
  </si>
  <si>
    <t>WS810</t>
  </si>
  <si>
    <t>HORECA - ENGLISH PORK SAUSAGES</t>
  </si>
  <si>
    <t>WS811</t>
  </si>
  <si>
    <t>HORECA - ENGLISH CHICKEN SAUSAGES</t>
  </si>
  <si>
    <t>WS815</t>
  </si>
  <si>
    <t>HORECA - BBQ SAUSAGES BEEF</t>
  </si>
  <si>
    <t>WS816</t>
  </si>
  <si>
    <t>HORECA - BBQ SAUSAGES PORK</t>
  </si>
  <si>
    <t>WS817</t>
  </si>
  <si>
    <t>HORECA - BBQ SAUSAGES CHICKEN</t>
  </si>
  <si>
    <t>WS818</t>
  </si>
  <si>
    <t>HORECA - BEEF BOEREWORS</t>
  </si>
  <si>
    <t>WS819</t>
  </si>
  <si>
    <t>HORECA - PORK SMOKIES CHILLI</t>
  </si>
  <si>
    <t>WS820</t>
  </si>
  <si>
    <t>HORECA - PORK SMOKIES</t>
  </si>
  <si>
    <t>WS822</t>
  </si>
  <si>
    <t>CLASSIC SELECTION BEEF SAUSAGES</t>
  </si>
  <si>
    <t>WS825</t>
  </si>
  <si>
    <t>RF - BEEF CHIPOLATA</t>
  </si>
  <si>
    <t>720Gr</t>
  </si>
  <si>
    <t>WS826</t>
  </si>
  <si>
    <t>RF - CHICKEN CHIPOLATA</t>
  </si>
  <si>
    <t>WS827</t>
  </si>
  <si>
    <t>RF - PORK CHIPOLATA</t>
  </si>
  <si>
    <t>WS828</t>
  </si>
  <si>
    <t>CHICKEN VIENNAS</t>
  </si>
  <si>
    <t>700G</t>
  </si>
  <si>
    <t>BACON</t>
  </si>
  <si>
    <t>WS901</t>
  </si>
  <si>
    <t>HORECA - BACON SLICED</t>
  </si>
  <si>
    <t>5kg</t>
  </si>
  <si>
    <t>10kg</t>
  </si>
  <si>
    <t>20kg</t>
  </si>
  <si>
    <t>WS902</t>
  </si>
  <si>
    <t>HORECA - STREAKY BACON</t>
  </si>
  <si>
    <t>WS903</t>
  </si>
  <si>
    <t>HORECA - BACK BACON SLICED</t>
  </si>
  <si>
    <t>WS904</t>
  </si>
  <si>
    <t>HORECA - RINDLESS BACON SLICED</t>
  </si>
  <si>
    <t>WS943</t>
  </si>
  <si>
    <t>HORECA - ENGLISH BACON</t>
  </si>
  <si>
    <t>COLD MEATS</t>
  </si>
  <si>
    <t>COLDCUTS</t>
  </si>
  <si>
    <t>WS905</t>
  </si>
  <si>
    <t>HORECA - POLONY (WHOLE)</t>
  </si>
  <si>
    <t xml:space="preserve"> +/- 2,5 kg / Pc</t>
  </si>
  <si>
    <t>2blocks</t>
  </si>
  <si>
    <t>4blocks</t>
  </si>
  <si>
    <t>8blocks</t>
  </si>
  <si>
    <t>WS907</t>
  </si>
  <si>
    <t>HORECA - PORK POLONY (WHOLE)</t>
  </si>
  <si>
    <t>WS909</t>
  </si>
  <si>
    <t>HORECA - CHICKEN POLONY (WHOLE)</t>
  </si>
  <si>
    <t>WS911</t>
  </si>
  <si>
    <t>HORECA - MUSHROOM POLONY (WHOLE)</t>
  </si>
  <si>
    <t>WS913</t>
  </si>
  <si>
    <t>HORECA - BEEF POLONY (WHOLE)</t>
  </si>
  <si>
    <t>WS914</t>
  </si>
  <si>
    <t>HORECA - BEEF POLONY (SLICED)</t>
  </si>
  <si>
    <t>500 gr</t>
  </si>
  <si>
    <t>WS915</t>
  </si>
  <si>
    <t>HORECA - MORTADELLA (WHOLE)</t>
  </si>
  <si>
    <t>WS921</t>
  </si>
  <si>
    <t>HORECA - COOKED SANDWICH HAM (WHOLE)</t>
  </si>
  <si>
    <t xml:space="preserve"> +/- 4 kg / Pc</t>
  </si>
  <si>
    <t>WS923</t>
  </si>
  <si>
    <t>HORECA - PREMIUM COOKED HAM (WHOLE)</t>
  </si>
  <si>
    <t>1block</t>
  </si>
  <si>
    <t>WS931</t>
  </si>
  <si>
    <t>HORECA - SALAMI (WHOLE)</t>
  </si>
  <si>
    <t>WS933</t>
  </si>
  <si>
    <t>HORECA - COOKED GARLIC SALAMI (WHOLE)</t>
  </si>
  <si>
    <t>HORECA - HUNGARIAN SALAMI (WHOLE)</t>
  </si>
  <si>
    <t>WS942</t>
  </si>
  <si>
    <t>HORECA - ROASTED HAM ( SLICED)</t>
  </si>
  <si>
    <t>RANCHERS FINEST GCC-  PRICELIST</t>
  </si>
  <si>
    <t xml:space="preserve">PREMIUM CUTS </t>
  </si>
  <si>
    <t>ART NO</t>
  </si>
  <si>
    <t>WS101</t>
  </si>
  <si>
    <t>HORECA -  SIRLOIN STEAK    +/- 350Gr  Piece</t>
  </si>
  <si>
    <t>WS108</t>
  </si>
  <si>
    <t>HORECA  - BEEF SHIN / OSSO BUCCO  +-250 Gr   Piece</t>
  </si>
  <si>
    <t>WS104</t>
  </si>
  <si>
    <t>HORECA -  T- BONE STEAK  +/- 400Gr Piece</t>
  </si>
  <si>
    <t>HORECA  -  BEEF STEAK SLICES +/- 200Gr Piece</t>
  </si>
  <si>
    <t xml:space="preserve"> CHOICE BEEF WHOLE</t>
  </si>
  <si>
    <t>WS110</t>
  </si>
  <si>
    <t xml:space="preserve">HORECA -  SIRLOIN </t>
  </si>
  <si>
    <t>WS111</t>
  </si>
  <si>
    <t>HORECA -  BEEF MINCE (80/20)</t>
  </si>
  <si>
    <t>WS112</t>
  </si>
  <si>
    <t>HORECA -  BEEF CUBES / STEW</t>
  </si>
  <si>
    <t>WS113</t>
  </si>
  <si>
    <t>HORECA -  BEEF STIRFRY</t>
  </si>
  <si>
    <t>WS114</t>
  </si>
  <si>
    <t xml:space="preserve">HORECA -  TOP SIDE / BEEF ROAST </t>
  </si>
  <si>
    <t>WS121</t>
  </si>
  <si>
    <t>HORECA -  BEEF ON BONE</t>
  </si>
  <si>
    <t>WS122</t>
  </si>
  <si>
    <t>HORECA -  BUDGET FILLET MIGNON STEAK</t>
  </si>
  <si>
    <t>WS109</t>
  </si>
  <si>
    <t>HORECA  - RUMP STEAK</t>
  </si>
  <si>
    <t>WS115</t>
  </si>
  <si>
    <t>HORECA  - BEEF RACK</t>
  </si>
  <si>
    <t>WS116</t>
  </si>
  <si>
    <t>HORECA  - BEEF BRISKET</t>
  </si>
  <si>
    <t>WS117</t>
  </si>
  <si>
    <t>HORECA -  BEEF FILLET</t>
  </si>
  <si>
    <t>WS118</t>
  </si>
  <si>
    <t>HORECA -  BEEF  STRIPLOIN</t>
  </si>
  <si>
    <t>WS119</t>
  </si>
  <si>
    <t>HORECA - JUMBO MEAT BALLS  (100Gr)</t>
  </si>
  <si>
    <t>WS120</t>
  </si>
  <si>
    <t>HORECA  - KEBABS (100Gr)</t>
  </si>
  <si>
    <t>WS174P</t>
  </si>
  <si>
    <t xml:space="preserve">HORECA - PRIME BEEF LIVER </t>
  </si>
  <si>
    <t>WS175P</t>
  </si>
  <si>
    <t>HORECA - PRIME BEEF KIDNEY</t>
  </si>
  <si>
    <t>WS176P</t>
  </si>
  <si>
    <t>HORECA - PRIME BEEF HEART</t>
  </si>
  <si>
    <t>WS710</t>
  </si>
  <si>
    <t>HORECA - BEEF BURGERS (100GR)</t>
  </si>
  <si>
    <t>Catering Value packs</t>
  </si>
  <si>
    <t>HORECA - BEEF  BOEREWORS</t>
  </si>
  <si>
    <t xml:space="preserve">HORECA - PORK SMOKIES CHILLI </t>
  </si>
  <si>
    <t xml:space="preserve">HORECA - PORK SMOKIES </t>
  </si>
  <si>
    <t>RF -    BEEF SAUSAGES</t>
  </si>
  <si>
    <t xml:space="preserve">RF -    BEEF CHIPOLATA </t>
  </si>
  <si>
    <t>RF -    CHICKEN CHIPOLATA</t>
  </si>
  <si>
    <t>RF -    PORK CHIPOLATA</t>
  </si>
  <si>
    <t xml:space="preserve">HORECA - STREAKY BACON </t>
  </si>
  <si>
    <t>HORECA  - ENGLISH BACON</t>
  </si>
  <si>
    <t>HORECA - COOKED GARLIC SALAMI  (WHOLE)</t>
  </si>
  <si>
    <t>HORECA -  HUNGARIAN SALAMI (WHOLE)</t>
  </si>
  <si>
    <t>HORECA - ROASTED HAM  ( SLICED)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</si>
</sst>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0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24.0"/>
      <color theme="1"/>
      <name val="Arial"/>
    </font>
    <font/>
    <font>
      <b/>
      <i/>
      <color theme="1"/>
      <name val="Arial"/>
    </font>
    <font>
      <b/>
      <sz val="11.0"/>
      <color theme="1"/>
      <name val="Calibri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sz val="12.0"/>
      <color theme="1"/>
      <name val="Arial"/>
    </font>
    <font>
      <b/>
      <u/>
      <color theme="1"/>
      <name val="Arial"/>
    </font>
    <font>
      <sz val="10.0"/>
      <color theme="1"/>
      <name val="Arial"/>
    </font>
    <font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color theme="1"/>
      <name val="Arial"/>
    </font>
    <font>
      <b/>
      <u/>
      <color theme="1"/>
      <name val="Arial"/>
    </font>
    <font>
      <color theme="1"/>
      <name val="Arial"/>
      <scheme val="minor"/>
    </font>
    <font>
      <b/>
      <i/>
      <sz val="11.0"/>
      <color theme="1"/>
      <name val="Arial"/>
    </font>
    <font>
      <b/>
      <u/>
      <sz val="12.0"/>
      <color theme="1"/>
      <name val="Arial"/>
    </font>
    <font>
      <b/>
      <i/>
      <sz val="12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color rgb="FF000000"/>
      <name val="&quot;Times New Roman&quot;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i/>
      <sz val="13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</fills>
  <borders count="68">
    <border/>
    <border>
      <left style="medium">
        <color rgb="FF000000"/>
      </left>
      <right/>
      <top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/>
      <bottom/>
    </border>
    <border>
      <left/>
    </border>
    <border>
      <right style="medium">
        <color rgb="FF000000"/>
      </right>
    </border>
    <border>
      <left/>
      <bottom/>
    </border>
    <border>
      <bottom/>
    </border>
    <border>
      <right style="medium">
        <color rgb="FF000000"/>
      </right>
      <bottom/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4" numFmtId="0" xfId="0" applyAlignment="1" applyBorder="1" applyFont="1">
      <alignment horizontal="center"/>
    </xf>
    <xf borderId="12" fillId="2" fontId="4" numFmtId="0" xfId="0" applyAlignment="1" applyBorder="1" applyFont="1">
      <alignment horizontal="center"/>
    </xf>
    <xf borderId="13" fillId="3" fontId="5" numFmtId="0" xfId="0" applyAlignment="1" applyBorder="1" applyFill="1" applyFont="1">
      <alignment readingOrder="0"/>
    </xf>
    <xf borderId="14" fillId="3" fontId="6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6" fillId="3" fontId="8" numFmtId="0" xfId="0" applyAlignment="1" applyBorder="1" applyFont="1">
      <alignment horizontal="center" shrinkToFit="0" wrapText="1"/>
    </xf>
    <xf borderId="17" fillId="3" fontId="9" numFmtId="0" xfId="0" applyAlignment="1" applyBorder="1" applyFont="1">
      <alignment horizontal="center"/>
    </xf>
    <xf borderId="11" fillId="0" fontId="3" numFmtId="0" xfId="0" applyBorder="1" applyFont="1"/>
    <xf borderId="14" fillId="0" fontId="3" numFmtId="0" xfId="0" applyBorder="1" applyFont="1"/>
    <xf borderId="18" fillId="3" fontId="1" numFmtId="0" xfId="0" applyBorder="1" applyFont="1"/>
    <xf borderId="19" fillId="3" fontId="10" numFmtId="0" xfId="0" applyAlignment="1" applyBorder="1" applyFont="1">
      <alignment horizontal="center" shrinkToFit="0" wrapText="1"/>
    </xf>
    <xf borderId="13" fillId="2" fontId="1" numFmtId="0" xfId="0" applyBorder="1" applyFont="1"/>
    <xf borderId="20" fillId="4" fontId="11" numFmtId="0" xfId="0" applyBorder="1" applyFill="1" applyFont="1"/>
    <xf borderId="21" fillId="4" fontId="1" numFmtId="0" xfId="0" applyBorder="1" applyFont="1"/>
    <xf borderId="22" fillId="4" fontId="1" numFmtId="0" xfId="0" applyBorder="1" applyFont="1"/>
    <xf borderId="23" fillId="4" fontId="12" numFmtId="0" xfId="0" applyAlignment="1" applyBorder="1" applyFont="1">
      <alignment horizontal="center"/>
    </xf>
    <xf borderId="24" fillId="0" fontId="3" numFmtId="0" xfId="0" applyBorder="1" applyFont="1"/>
    <xf borderId="25" fillId="4" fontId="1" numFmtId="0" xfId="0" applyBorder="1" applyFont="1"/>
    <xf borderId="13" fillId="5" fontId="1" numFmtId="0" xfId="0" applyBorder="1" applyFill="1" applyFont="1"/>
    <xf borderId="26" fillId="0" fontId="1" numFmtId="0" xfId="0" applyBorder="1" applyFont="1"/>
    <xf borderId="27" fillId="0" fontId="1" numFmtId="0" xfId="0" applyBorder="1" applyFont="1"/>
    <xf borderId="27" fillId="0" fontId="1" numFmtId="164" xfId="0" applyBorder="1" applyFont="1" applyNumberFormat="1"/>
    <xf borderId="28" fillId="0" fontId="1" numFmtId="164" xfId="0" applyBorder="1" applyFont="1" applyNumberFormat="1"/>
    <xf borderId="29" fillId="0" fontId="13" numFmtId="0" xfId="0" applyAlignment="1" applyBorder="1" applyFont="1">
      <alignment readingOrder="0" vertical="center"/>
    </xf>
    <xf borderId="26" fillId="0" fontId="14" numFmtId="0" xfId="0" applyAlignment="1" applyBorder="1" applyFont="1">
      <alignment readingOrder="0"/>
    </xf>
    <xf borderId="13" fillId="0" fontId="14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/>
    </xf>
    <xf borderId="30" fillId="0" fontId="14" numFmtId="0" xfId="0" applyAlignment="1" applyBorder="1" applyFont="1">
      <alignment horizontal="right"/>
    </xf>
    <xf borderId="30" fillId="0" fontId="14" numFmtId="0" xfId="0" applyBorder="1" applyFont="1"/>
    <xf borderId="26" fillId="0" fontId="14" numFmtId="0" xfId="0" applyBorder="1" applyFont="1"/>
    <xf borderId="27" fillId="0" fontId="14" numFmtId="164" xfId="0" applyAlignment="1" applyBorder="1" applyFont="1" applyNumberFormat="1">
      <alignment horizontal="center" readingOrder="0"/>
    </xf>
    <xf borderId="31" fillId="0" fontId="13" numFmtId="0" xfId="0" applyAlignment="1" applyBorder="1" applyFont="1">
      <alignment vertical="center"/>
    </xf>
    <xf borderId="30" fillId="0" fontId="14" numFmtId="0" xfId="0" applyAlignment="1" applyBorder="1" applyFont="1">
      <alignment readingOrder="0"/>
    </xf>
    <xf borderId="13" fillId="0" fontId="14" numFmtId="164" xfId="0" applyAlignment="1" applyBorder="1" applyFont="1" applyNumberFormat="1">
      <alignment horizontal="center" readingOrder="0"/>
    </xf>
    <xf borderId="32" fillId="0" fontId="1" numFmtId="164" xfId="0" applyBorder="1" applyFont="1" applyNumberFormat="1"/>
    <xf borderId="33" fillId="3" fontId="15" numFmtId="0" xfId="0" applyAlignment="1" applyBorder="1" applyFont="1">
      <alignment horizontal="center"/>
    </xf>
    <xf borderId="33" fillId="3" fontId="16" numFmtId="0" xfId="0" applyAlignment="1" applyBorder="1" applyFont="1">
      <alignment horizontal="center"/>
    </xf>
    <xf borderId="34" fillId="3" fontId="17" numFmtId="0" xfId="0" applyAlignment="1" applyBorder="1" applyFont="1">
      <alignment horizontal="center"/>
    </xf>
    <xf borderId="34" fillId="3" fontId="1" numFmtId="0" xfId="0" applyBorder="1" applyFont="1"/>
    <xf borderId="35" fillId="3" fontId="18" numFmtId="0" xfId="0" applyAlignment="1" applyBorder="1" applyFont="1">
      <alignment horizontal="center" shrinkToFit="0" wrapText="1"/>
    </xf>
    <xf borderId="31" fillId="0" fontId="14" numFmtId="0" xfId="0" applyBorder="1" applyFont="1"/>
    <xf borderId="36" fillId="0" fontId="14" numFmtId="0" xfId="0" applyBorder="1" applyFont="1"/>
    <xf borderId="13" fillId="0" fontId="14" numFmtId="164" xfId="0" applyAlignment="1" applyBorder="1" applyFont="1" applyNumberFormat="1">
      <alignment horizontal="center"/>
    </xf>
    <xf borderId="37" fillId="0" fontId="14" numFmtId="164" xfId="0" applyAlignment="1" applyBorder="1" applyFont="1" applyNumberFormat="1">
      <alignment horizontal="center" readingOrder="0"/>
    </xf>
    <xf borderId="26" fillId="0" fontId="14" numFmtId="0" xfId="0" applyAlignment="1" applyBorder="1" applyFont="1">
      <alignment horizontal="right"/>
    </xf>
    <xf borderId="37" fillId="0" fontId="1" numFmtId="164" xfId="0" applyBorder="1" applyFont="1" applyNumberFormat="1"/>
    <xf borderId="27" fillId="0" fontId="14" numFmtId="0" xfId="0" applyAlignment="1" applyBorder="1" applyFont="1">
      <alignment horizontal="center"/>
    </xf>
    <xf borderId="38" fillId="0" fontId="14" numFmtId="0" xfId="0" applyAlignment="1" applyBorder="1" applyFont="1">
      <alignment horizontal="center"/>
    </xf>
    <xf borderId="39" fillId="0" fontId="14" numFmtId="164" xfId="0" applyAlignment="1" applyBorder="1" applyFont="1" applyNumberFormat="1">
      <alignment horizontal="center" readingOrder="0"/>
    </xf>
    <xf borderId="40" fillId="0" fontId="1" numFmtId="164" xfId="0" applyBorder="1" applyFont="1" applyNumberFormat="1"/>
    <xf borderId="32" fillId="0" fontId="1" numFmtId="164" xfId="0" applyAlignment="1" applyBorder="1" applyFont="1" applyNumberFormat="1">
      <alignment readingOrder="0"/>
    </xf>
    <xf borderId="0" fillId="0" fontId="19" numFmtId="4" xfId="0" applyFont="1" applyNumberFormat="1"/>
    <xf borderId="41" fillId="0" fontId="14" numFmtId="0" xfId="0" applyBorder="1" applyFont="1"/>
    <xf quotePrefix="1" borderId="38" fillId="0" fontId="14" numFmtId="0" xfId="0" applyAlignment="1" applyBorder="1" applyFont="1">
      <alignment horizontal="center"/>
    </xf>
    <xf borderId="38" fillId="0" fontId="14" numFmtId="164" xfId="0" applyAlignment="1" applyBorder="1" applyFont="1" applyNumberFormat="1">
      <alignment horizontal="center" readingOrder="0"/>
    </xf>
    <xf borderId="42" fillId="0" fontId="1" numFmtId="164" xfId="0" applyBorder="1" applyFont="1" applyNumberFormat="1"/>
    <xf borderId="31" fillId="0" fontId="14" numFmtId="0" xfId="0" applyAlignment="1" applyBorder="1" applyFont="1">
      <alignment readingOrder="0"/>
    </xf>
    <xf borderId="36" fillId="0" fontId="14" numFmtId="0" xfId="0" applyAlignment="1" applyBorder="1" applyFont="1">
      <alignment readingOrder="0"/>
    </xf>
    <xf borderId="31" fillId="0" fontId="1" numFmtId="0" xfId="0" applyBorder="1" applyFont="1"/>
    <xf borderId="0" fillId="0" fontId="1" numFmtId="0" xfId="0" applyAlignment="1" applyFont="1">
      <alignment vertical="bottom"/>
    </xf>
    <xf borderId="15" fillId="0" fontId="1" numFmtId="0" xfId="0" applyBorder="1" applyFont="1"/>
    <xf borderId="15" fillId="0" fontId="1" numFmtId="0" xfId="0" applyAlignment="1" applyBorder="1" applyFont="1">
      <alignment vertical="bottom"/>
    </xf>
    <xf borderId="43" fillId="0" fontId="1" numFmtId="0" xfId="0" applyAlignment="1" applyBorder="1" applyFont="1">
      <alignment vertical="bottom"/>
    </xf>
    <xf borderId="7" fillId="0" fontId="1" numFmtId="0" xfId="0" applyBorder="1" applyFont="1"/>
    <xf borderId="44" fillId="0" fontId="14" numFmtId="0" xfId="0" applyAlignment="1" applyBorder="1" applyFont="1">
      <alignment horizontal="center" readingOrder="0"/>
    </xf>
    <xf borderId="44" fillId="0" fontId="14" numFmtId="0" xfId="0" applyAlignment="1" applyBorder="1" applyFont="1">
      <alignment horizontal="center"/>
    </xf>
    <xf borderId="36" fillId="0" fontId="1" numFmtId="0" xfId="0" applyBorder="1" applyFont="1"/>
    <xf borderId="45" fillId="0" fontId="1" numFmtId="0" xfId="0" applyBorder="1" applyFont="1"/>
    <xf borderId="30" fillId="0" fontId="1" numFmtId="0" xfId="0" applyBorder="1" applyFont="1"/>
    <xf borderId="45" fillId="0" fontId="1" numFmtId="164" xfId="0" applyBorder="1" applyFont="1" applyNumberFormat="1"/>
    <xf borderId="36" fillId="2" fontId="20" numFmtId="0" xfId="0" applyAlignment="1" applyBorder="1" applyFont="1">
      <alignment horizontal="center" readingOrder="0" vertical="top"/>
    </xf>
    <xf borderId="30" fillId="0" fontId="3" numFmtId="0" xfId="0" applyBorder="1" applyFont="1"/>
    <xf borderId="29" fillId="0" fontId="3" numFmtId="0" xfId="0" applyBorder="1" applyFont="1"/>
    <xf borderId="33" fillId="3" fontId="21" numFmtId="0" xfId="0" applyAlignment="1" applyBorder="1" applyFont="1">
      <alignment horizontal="center" readingOrder="0"/>
    </xf>
    <xf borderId="37" fillId="0" fontId="1" numFmtId="164" xfId="0" applyAlignment="1" applyBorder="1" applyFont="1" applyNumberFormat="1">
      <alignment readingOrder="0"/>
    </xf>
    <xf borderId="46" fillId="2" fontId="22" numFmtId="0" xfId="0" applyAlignment="1" applyBorder="1" applyFont="1">
      <alignment horizontal="center"/>
    </xf>
    <xf borderId="47" fillId="0" fontId="3" numFmtId="0" xfId="0" applyBorder="1" applyFont="1"/>
    <xf borderId="34" fillId="2" fontId="1" numFmtId="0" xfId="0" applyBorder="1" applyFont="1"/>
    <xf borderId="25" fillId="2" fontId="1" numFmtId="164" xfId="0" applyBorder="1" applyFont="1" applyNumberFormat="1"/>
    <xf borderId="0" fillId="0" fontId="1" numFmtId="4" xfId="0" applyAlignment="1" applyFont="1" applyNumberFormat="1">
      <alignment vertical="bottom"/>
    </xf>
    <xf borderId="48" fillId="0" fontId="1" numFmtId="0" xfId="0" applyBorder="1" applyFont="1"/>
    <xf borderId="49" fillId="3" fontId="23" numFmtId="0" xfId="0" applyBorder="1" applyFont="1"/>
    <xf borderId="50" fillId="3" fontId="24" numFmtId="0" xfId="0" applyAlignment="1" applyBorder="1" applyFont="1">
      <alignment horizontal="center"/>
    </xf>
    <xf borderId="50" fillId="3" fontId="1" numFmtId="0" xfId="0" applyBorder="1" applyFont="1"/>
    <xf borderId="49" fillId="3" fontId="25" numFmtId="0" xfId="0" applyAlignment="1" applyBorder="1" applyFont="1">
      <alignment horizontal="center" shrinkToFit="0" wrapText="1"/>
    </xf>
    <xf borderId="51" fillId="3" fontId="26" numFmtId="0" xfId="0" applyAlignment="1" applyBorder="1" applyFont="1">
      <alignment horizontal="center" shrinkToFit="0" wrapText="1"/>
    </xf>
    <xf borderId="13" fillId="0" fontId="27" numFmtId="0" xfId="0" applyAlignment="1" applyBorder="1" applyFont="1">
      <alignment horizontal="left" vertical="bottom"/>
    </xf>
    <xf borderId="25" fillId="2" fontId="1" numFmtId="0" xfId="0" applyBorder="1" applyFont="1"/>
    <xf borderId="33" fillId="3" fontId="5" numFmtId="0" xfId="0" applyAlignment="1" applyBorder="1" applyFont="1">
      <alignment readingOrder="0"/>
    </xf>
    <xf borderId="34" fillId="3" fontId="28" numFmtId="0" xfId="0" applyAlignment="1" applyBorder="1" applyFont="1">
      <alignment horizontal="center"/>
    </xf>
    <xf borderId="34" fillId="3" fontId="1" numFmtId="0" xfId="0" applyBorder="1" applyFont="1"/>
    <xf borderId="33" fillId="3" fontId="29" numFmtId="0" xfId="0" applyAlignment="1" applyBorder="1" applyFont="1">
      <alignment horizontal="center" shrinkToFit="0" wrapText="1"/>
    </xf>
    <xf borderId="25" fillId="3" fontId="30" numFmtId="0" xfId="0" applyAlignment="1" applyBorder="1" applyFont="1">
      <alignment horizontal="center" shrinkToFit="0" wrapText="1"/>
    </xf>
    <xf quotePrefix="1" borderId="13" fillId="0" fontId="14" numFmtId="0" xfId="0" applyAlignment="1" applyBorder="1" applyFont="1">
      <alignment horizontal="center"/>
    </xf>
    <xf borderId="46" fillId="2" fontId="4" numFmtId="0" xfId="0" applyAlignment="1" applyBorder="1" applyFont="1">
      <alignment horizontal="center"/>
    </xf>
    <xf borderId="52" fillId="0" fontId="3" numFmtId="0" xfId="0" applyBorder="1" applyFont="1"/>
    <xf borderId="53" fillId="0" fontId="1" numFmtId="0" xfId="0" applyAlignment="1" applyBorder="1" applyFont="1">
      <alignment vertical="bottom"/>
    </xf>
    <xf borderId="49" fillId="3" fontId="31" numFmtId="0" xfId="0" applyAlignment="1" applyBorder="1" applyFont="1">
      <alignment horizontal="center"/>
    </xf>
    <xf borderId="54" fillId="3" fontId="32" numFmtId="0" xfId="0" applyAlignment="1" applyBorder="1" applyFont="1">
      <alignment horizontal="center" shrinkToFit="0" wrapText="1"/>
    </xf>
    <xf borderId="34" fillId="4" fontId="33" numFmtId="0" xfId="0" applyBorder="1" applyFont="1"/>
    <xf borderId="55" fillId="0" fontId="1" numFmtId="0" xfId="0" applyBorder="1" applyFont="1"/>
    <xf borderId="44" fillId="0" fontId="1" numFmtId="164" xfId="0" applyBorder="1" applyFont="1" applyNumberFormat="1"/>
    <xf borderId="56" fillId="0" fontId="1" numFmtId="164" xfId="0" applyBorder="1" applyFont="1" applyNumberFormat="1"/>
    <xf borderId="34" fillId="4" fontId="1" numFmtId="164" xfId="0" applyBorder="1" applyFont="1" applyNumberFormat="1"/>
    <xf borderId="57" fillId="4" fontId="1" numFmtId="164" xfId="0" applyBorder="1" applyFont="1" applyNumberFormat="1"/>
    <xf borderId="27" fillId="0" fontId="1" numFmtId="164" xfId="0" applyAlignment="1" applyBorder="1" applyFont="1" applyNumberFormat="1">
      <alignment readingOrder="0"/>
    </xf>
    <xf borderId="34" fillId="3" fontId="34" numFmtId="0" xfId="0" applyAlignment="1" applyBorder="1" applyFont="1">
      <alignment horizontal="center"/>
    </xf>
    <xf borderId="58" fillId="0" fontId="1" numFmtId="0" xfId="0" applyBorder="1" applyFont="1"/>
    <xf borderId="59" fillId="0" fontId="1" numFmtId="164" xfId="0" applyBorder="1" applyFont="1" applyNumberFormat="1"/>
    <xf borderId="38" fillId="0" fontId="14" numFmtId="164" xfId="0" applyAlignment="1" applyBorder="1" applyFont="1" applyNumberFormat="1">
      <alignment horizontal="center"/>
    </xf>
    <xf borderId="32" fillId="0" fontId="14" numFmtId="164" xfId="0" applyAlignment="1" applyBorder="1" applyFont="1" applyNumberFormat="1">
      <alignment horizontal="center"/>
    </xf>
    <xf borderId="46" fillId="2" fontId="35" numFmtId="0" xfId="0" applyAlignment="1" applyBorder="1" applyFont="1">
      <alignment horizontal="center"/>
    </xf>
    <xf borderId="20" fillId="0" fontId="3" numFmtId="0" xfId="0" applyBorder="1" applyFont="1"/>
    <xf borderId="34" fillId="2" fontId="1" numFmtId="0" xfId="0" applyBorder="1" applyFont="1"/>
    <xf borderId="57" fillId="2" fontId="1" numFmtId="0" xfId="0" applyBorder="1" applyFont="1"/>
    <xf borderId="33" fillId="3" fontId="36" numFmtId="0" xfId="0" applyBorder="1" applyFont="1"/>
    <xf borderId="27" fillId="0" fontId="14" numFmtId="164" xfId="0" applyAlignment="1" applyBorder="1" applyFont="1" applyNumberFormat="1">
      <alignment horizontal="center"/>
    </xf>
    <xf borderId="28" fillId="0" fontId="14" numFmtId="164" xfId="0" applyAlignment="1" applyBorder="1" applyFont="1" applyNumberFormat="1">
      <alignment horizontal="center" readingOrder="0"/>
    </xf>
    <xf borderId="32" fillId="0" fontId="14" numFmtId="164" xfId="0" applyAlignment="1" applyBorder="1" applyFont="1" applyNumberFormat="1">
      <alignment horizontal="center" readingOrder="0"/>
    </xf>
    <xf borderId="49" fillId="3" fontId="37" numFmtId="0" xfId="0" applyBorder="1" applyFont="1"/>
    <xf borderId="36" fillId="0" fontId="14" numFmtId="164" xfId="0" applyAlignment="1" applyBorder="1" applyFont="1" applyNumberFormat="1">
      <alignment horizontal="center"/>
    </xf>
    <xf borderId="40" fillId="0" fontId="14" numFmtId="164" xfId="0" applyAlignment="1" applyBorder="1" applyFont="1" applyNumberFormat="1">
      <alignment horizontal="center" readingOrder="0"/>
    </xf>
    <xf borderId="60" fillId="0" fontId="1" numFmtId="0" xfId="0" applyBorder="1" applyFont="1"/>
    <xf borderId="53" fillId="0" fontId="1" numFmtId="0" xfId="0" applyBorder="1" applyFont="1"/>
    <xf borderId="0" fillId="0" fontId="1" numFmtId="0" xfId="0" applyFont="1"/>
    <xf borderId="61" fillId="0" fontId="1" numFmtId="164" xfId="0" applyBorder="1" applyFont="1" applyNumberFormat="1"/>
    <xf borderId="46" fillId="2" fontId="22" numFmtId="0" xfId="0" applyAlignment="1" applyBorder="1" applyFont="1">
      <alignment horizontal="center"/>
    </xf>
    <xf borderId="62" fillId="0" fontId="14" numFmtId="0" xfId="0" applyAlignment="1" applyBorder="1" applyFont="1">
      <alignment readingOrder="0"/>
    </xf>
    <xf borderId="41" fillId="0" fontId="14" numFmtId="164" xfId="0" applyAlignment="1" applyBorder="1" applyFont="1" applyNumberFormat="1">
      <alignment horizontal="center"/>
    </xf>
    <xf borderId="61" fillId="0" fontId="1" numFmtId="0" xfId="0" applyBorder="1" applyFont="1"/>
    <xf borderId="33" fillId="3" fontId="1" numFmtId="0" xfId="0" applyBorder="1" applyFont="1"/>
    <xf borderId="33" fillId="3" fontId="38" numFmtId="0" xfId="0" applyAlignment="1" applyBorder="1" applyFont="1">
      <alignment horizontal="center" shrinkToFit="0" wrapText="1"/>
    </xf>
    <xf borderId="25" fillId="3" fontId="39" numFmtId="0" xfId="0" applyAlignment="1" applyBorder="1" applyFont="1">
      <alignment horizontal="center" shrinkToFit="0" wrapText="1"/>
    </xf>
    <xf borderId="63" fillId="0" fontId="1" numFmtId="0" xfId="0" applyBorder="1" applyFont="1"/>
    <xf borderId="64" fillId="0" fontId="1" numFmtId="0" xfId="0" applyAlignment="1" applyBorder="1" applyFont="1">
      <alignment vertical="bottom"/>
    </xf>
    <xf borderId="65" fillId="0" fontId="14" numFmtId="0" xfId="0" applyBorder="1" applyFont="1"/>
    <xf borderId="65" fillId="0" fontId="1" numFmtId="0" xfId="0" applyBorder="1" applyFont="1"/>
    <xf borderId="41" fillId="0" fontId="1" numFmtId="0" xfId="0" applyBorder="1" applyFont="1"/>
    <xf borderId="41" fillId="0" fontId="1" numFmtId="164" xfId="0" applyBorder="1" applyFont="1" applyNumberFormat="1"/>
    <xf borderId="65" fillId="0" fontId="14" numFmtId="0" xfId="0" applyAlignment="1" applyBorder="1" applyFont="1">
      <alignment readingOrder="0"/>
    </xf>
    <xf borderId="66" fillId="0" fontId="14" numFmtId="0" xfId="0" applyAlignment="1" applyBorder="1" applyFont="1">
      <alignment readingOrder="0"/>
    </xf>
    <xf borderId="17" fillId="0" fontId="14" numFmtId="164" xfId="0" applyAlignment="1" applyBorder="1" applyFont="1" applyNumberFormat="1">
      <alignment horizontal="center"/>
    </xf>
    <xf borderId="67" fillId="0" fontId="14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3.13"/>
    <col customWidth="1" min="3" max="3" width="11.25"/>
    <col customWidth="1" min="4" max="4" width="9.25"/>
    <col customWidth="1" min="5" max="5" width="5.5"/>
    <col customWidth="1" min="6" max="6" width="3.13"/>
    <col customWidth="1" min="7" max="7" width="6.5"/>
    <col customWidth="1" min="8" max="8" width="7.63"/>
    <col customWidth="1" min="9" max="9" width="7.5"/>
    <col customWidth="1" min="10" max="10" width="5.75"/>
    <col customWidth="1" min="11" max="11" width="10.0"/>
    <col customWidth="1" min="12" max="12" width="10.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/>
      <c r="B2" s="6"/>
      <c r="L2" s="7"/>
    </row>
    <row r="3">
      <c r="A3" s="1"/>
      <c r="B3" s="6"/>
      <c r="L3" s="7"/>
    </row>
    <row r="4">
      <c r="A4" s="5"/>
      <c r="B4" s="6"/>
      <c r="L4" s="7"/>
    </row>
    <row r="5">
      <c r="A5" s="1"/>
      <c r="B5" s="6"/>
      <c r="L5" s="7"/>
    </row>
    <row r="6">
      <c r="A6" s="5"/>
      <c r="B6" s="8"/>
      <c r="C6" s="9"/>
      <c r="D6" s="9"/>
      <c r="E6" s="9"/>
      <c r="F6" s="9"/>
      <c r="G6" s="9"/>
      <c r="H6" s="9"/>
      <c r="I6" s="9"/>
      <c r="J6" s="9"/>
      <c r="K6" s="9"/>
      <c r="L6" s="10"/>
    </row>
    <row r="7">
      <c r="A7" s="1"/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13" t="s">
        <v>1</v>
      </c>
      <c r="B8" s="14" t="s">
        <v>2</v>
      </c>
      <c r="C8" s="15" t="s">
        <v>3</v>
      </c>
      <c r="D8" s="16" t="s">
        <v>4</v>
      </c>
      <c r="E8" s="17" t="s">
        <v>5</v>
      </c>
      <c r="F8" s="18"/>
      <c r="G8" s="18"/>
      <c r="H8" s="18"/>
      <c r="I8" s="19"/>
      <c r="J8" s="20"/>
      <c r="K8" s="21" t="s">
        <v>6</v>
      </c>
      <c r="L8" s="21" t="s">
        <v>7</v>
      </c>
    </row>
    <row r="9">
      <c r="A9" s="22"/>
      <c r="B9" s="23" t="s">
        <v>8</v>
      </c>
      <c r="C9" s="24"/>
      <c r="D9" s="25"/>
      <c r="E9" s="26" t="s">
        <v>9</v>
      </c>
      <c r="F9" s="27"/>
      <c r="G9" s="26" t="s">
        <v>10</v>
      </c>
      <c r="H9" s="27"/>
      <c r="I9" s="26" t="s">
        <v>11</v>
      </c>
      <c r="J9" s="27"/>
      <c r="K9" s="25"/>
      <c r="L9" s="28"/>
    </row>
    <row r="10">
      <c r="A10" s="29"/>
      <c r="B10" s="30"/>
      <c r="C10" s="31"/>
      <c r="D10" s="31"/>
      <c r="E10" s="30"/>
      <c r="F10" s="30"/>
      <c r="G10" s="30"/>
      <c r="H10" s="30"/>
      <c r="I10" s="30"/>
      <c r="J10" s="30"/>
      <c r="K10" s="32"/>
      <c r="L10" s="33"/>
    </row>
    <row r="11">
      <c r="A11" s="34" t="s">
        <v>12</v>
      </c>
      <c r="B11" s="35" t="s">
        <v>13</v>
      </c>
      <c r="C11" s="36" t="s">
        <v>14</v>
      </c>
      <c r="D11" s="37">
        <v>6.0</v>
      </c>
      <c r="E11" s="38">
        <v>6.0</v>
      </c>
      <c r="F11" s="39" t="s">
        <v>15</v>
      </c>
      <c r="G11" s="38">
        <f t="shared" ref="G11:G14" si="1">+E11*2</f>
        <v>12</v>
      </c>
      <c r="H11" s="39" t="s">
        <v>15</v>
      </c>
      <c r="I11" s="38">
        <f t="shared" ref="I11:I14" si="2">+G11*2</f>
        <v>24</v>
      </c>
      <c r="J11" s="40" t="s">
        <v>15</v>
      </c>
      <c r="K11" s="41">
        <v>13500.0</v>
      </c>
      <c r="L11" s="33"/>
    </row>
    <row r="12">
      <c r="A12" s="34" t="s">
        <v>16</v>
      </c>
      <c r="B12" s="35" t="s">
        <v>17</v>
      </c>
      <c r="C12" s="36" t="s">
        <v>14</v>
      </c>
      <c r="D12" s="37">
        <v>6.0</v>
      </c>
      <c r="E12" s="38">
        <v>6.0</v>
      </c>
      <c r="F12" s="39" t="s">
        <v>15</v>
      </c>
      <c r="G12" s="38">
        <f t="shared" si="1"/>
        <v>12</v>
      </c>
      <c r="H12" s="39" t="s">
        <v>15</v>
      </c>
      <c r="I12" s="38">
        <f t="shared" si="2"/>
        <v>24</v>
      </c>
      <c r="J12" s="40" t="s">
        <v>15</v>
      </c>
      <c r="K12" s="41">
        <v>13500.0</v>
      </c>
      <c r="L12" s="33"/>
    </row>
    <row r="13">
      <c r="A13" s="42" t="s">
        <v>18</v>
      </c>
      <c r="B13" s="43" t="s">
        <v>19</v>
      </c>
      <c r="C13" s="36" t="s">
        <v>14</v>
      </c>
      <c r="D13" s="37">
        <v>6.0</v>
      </c>
      <c r="E13" s="38">
        <v>6.0</v>
      </c>
      <c r="F13" s="39" t="s">
        <v>15</v>
      </c>
      <c r="G13" s="38">
        <f t="shared" si="1"/>
        <v>12</v>
      </c>
      <c r="H13" s="39" t="s">
        <v>15</v>
      </c>
      <c r="I13" s="38">
        <f t="shared" si="2"/>
        <v>24</v>
      </c>
      <c r="J13" s="40" t="s">
        <v>15</v>
      </c>
      <c r="K13" s="44">
        <v>14500.0</v>
      </c>
      <c r="L13" s="45"/>
    </row>
    <row r="14">
      <c r="A14" s="42" t="s">
        <v>20</v>
      </c>
      <c r="B14" s="43" t="s">
        <v>21</v>
      </c>
      <c r="C14" s="36" t="s">
        <v>14</v>
      </c>
      <c r="D14" s="37">
        <v>6.0</v>
      </c>
      <c r="E14" s="38">
        <v>6.0</v>
      </c>
      <c r="F14" s="39" t="s">
        <v>15</v>
      </c>
      <c r="G14" s="38">
        <f t="shared" si="1"/>
        <v>12</v>
      </c>
      <c r="H14" s="39" t="s">
        <v>15</v>
      </c>
      <c r="I14" s="38">
        <f t="shared" si="2"/>
        <v>24</v>
      </c>
      <c r="J14" s="40" t="s">
        <v>15</v>
      </c>
      <c r="K14" s="44">
        <v>13500.0</v>
      </c>
      <c r="L14" s="45"/>
    </row>
    <row r="15" ht="27.0" customHeight="1">
      <c r="A15" s="46"/>
      <c r="B15" s="47" t="s">
        <v>22</v>
      </c>
      <c r="C15" s="48" t="s">
        <v>23</v>
      </c>
      <c r="D15" s="48" t="str">
        <f>+D5</f>
        <v/>
      </c>
      <c r="E15" s="48" t="s">
        <v>9</v>
      </c>
      <c r="F15" s="49"/>
      <c r="G15" s="48" t="s">
        <v>10</v>
      </c>
      <c r="H15" s="49"/>
      <c r="I15" s="48" t="s">
        <v>11</v>
      </c>
      <c r="J15" s="49"/>
      <c r="K15" s="50" t="s">
        <v>6</v>
      </c>
      <c r="L15" s="50" t="s">
        <v>7</v>
      </c>
    </row>
    <row r="16">
      <c r="A16" s="51" t="s">
        <v>24</v>
      </c>
      <c r="B16" s="52" t="s">
        <v>25</v>
      </c>
      <c r="C16" s="37" t="s">
        <v>26</v>
      </c>
      <c r="D16" s="37">
        <v>6.0</v>
      </c>
      <c r="E16" s="38">
        <v>6.0</v>
      </c>
      <c r="F16" s="39" t="s">
        <v>27</v>
      </c>
      <c r="G16" s="38">
        <v>18.0</v>
      </c>
      <c r="H16" s="39" t="s">
        <v>27</v>
      </c>
      <c r="I16" s="38">
        <v>36.0</v>
      </c>
      <c r="J16" s="39" t="s">
        <v>27</v>
      </c>
      <c r="K16" s="53">
        <f t="shared" ref="K16:K19" si="3">+L16/1.18</f>
        <v>932.2033898</v>
      </c>
      <c r="L16" s="54">
        <v>1100.0</v>
      </c>
    </row>
    <row r="17">
      <c r="A17" s="51" t="s">
        <v>28</v>
      </c>
      <c r="B17" s="52" t="s">
        <v>29</v>
      </c>
      <c r="C17" s="37" t="s">
        <v>26</v>
      </c>
      <c r="D17" s="37">
        <v>6.0</v>
      </c>
      <c r="E17" s="38">
        <v>6.0</v>
      </c>
      <c r="F17" s="39" t="s">
        <v>27</v>
      </c>
      <c r="G17" s="38">
        <v>18.0</v>
      </c>
      <c r="H17" s="39" t="s">
        <v>27</v>
      </c>
      <c r="I17" s="38">
        <v>36.0</v>
      </c>
      <c r="J17" s="39" t="s">
        <v>27</v>
      </c>
      <c r="K17" s="53">
        <f t="shared" si="3"/>
        <v>932.2033898</v>
      </c>
      <c r="L17" s="54">
        <v>1100.0</v>
      </c>
    </row>
    <row r="18">
      <c r="A18" s="51" t="s">
        <v>30</v>
      </c>
      <c r="B18" s="52" t="s">
        <v>31</v>
      </c>
      <c r="C18" s="37" t="s">
        <v>26</v>
      </c>
      <c r="D18" s="37">
        <v>6.0</v>
      </c>
      <c r="E18" s="38">
        <v>6.0</v>
      </c>
      <c r="F18" s="39" t="s">
        <v>27</v>
      </c>
      <c r="G18" s="38">
        <v>18.0</v>
      </c>
      <c r="H18" s="39" t="s">
        <v>27</v>
      </c>
      <c r="I18" s="38">
        <v>36.0</v>
      </c>
      <c r="J18" s="39" t="s">
        <v>27</v>
      </c>
      <c r="K18" s="53">
        <f t="shared" si="3"/>
        <v>932.2033898</v>
      </c>
      <c r="L18" s="54">
        <v>1100.0</v>
      </c>
    </row>
    <row r="19">
      <c r="A19" s="51" t="s">
        <v>32</v>
      </c>
      <c r="B19" s="52" t="s">
        <v>33</v>
      </c>
      <c r="C19" s="37" t="s">
        <v>26</v>
      </c>
      <c r="D19" s="37">
        <v>6.0</v>
      </c>
      <c r="E19" s="38">
        <v>6.0</v>
      </c>
      <c r="F19" s="39" t="s">
        <v>27</v>
      </c>
      <c r="G19" s="38">
        <v>18.0</v>
      </c>
      <c r="H19" s="39" t="s">
        <v>27</v>
      </c>
      <c r="I19" s="38">
        <v>36.0</v>
      </c>
      <c r="J19" s="39" t="s">
        <v>27</v>
      </c>
      <c r="K19" s="53">
        <f t="shared" si="3"/>
        <v>932.2033898</v>
      </c>
      <c r="L19" s="54">
        <v>1100.0</v>
      </c>
    </row>
    <row r="20">
      <c r="A20" s="51"/>
      <c r="B20" s="39"/>
      <c r="C20" s="37"/>
      <c r="D20" s="37"/>
      <c r="E20" s="38"/>
      <c r="F20" s="40"/>
      <c r="G20" s="55"/>
      <c r="H20" s="40"/>
      <c r="I20" s="55"/>
      <c r="J20" s="40"/>
      <c r="K20" s="44"/>
      <c r="L20" s="56"/>
    </row>
    <row r="21" ht="27.0" customHeight="1">
      <c r="A21" s="46"/>
      <c r="B21" s="47" t="s">
        <v>34</v>
      </c>
      <c r="C21" s="48" t="s">
        <v>23</v>
      </c>
      <c r="D21" s="48" t="str">
        <f>+D8</f>
        <v>Packs/Small Box</v>
      </c>
      <c r="E21" s="48" t="s">
        <v>9</v>
      </c>
      <c r="F21" s="49"/>
      <c r="G21" s="48" t="s">
        <v>10</v>
      </c>
      <c r="H21" s="49"/>
      <c r="I21" s="48" t="s">
        <v>11</v>
      </c>
      <c r="J21" s="49"/>
      <c r="K21" s="50" t="s">
        <v>6</v>
      </c>
      <c r="L21" s="50" t="s">
        <v>7</v>
      </c>
    </row>
    <row r="22">
      <c r="A22" s="51" t="s">
        <v>35</v>
      </c>
      <c r="B22" s="40" t="s">
        <v>36</v>
      </c>
      <c r="C22" s="57" t="s">
        <v>37</v>
      </c>
      <c r="D22" s="58">
        <v>5.0</v>
      </c>
      <c r="E22" s="55">
        <v>4.0</v>
      </c>
      <c r="F22" s="40" t="s">
        <v>15</v>
      </c>
      <c r="G22" s="55">
        <f t="shared" ref="G22:G39" si="4">+E22*2</f>
        <v>8</v>
      </c>
      <c r="H22" s="40" t="s">
        <v>15</v>
      </c>
      <c r="I22" s="55">
        <f t="shared" ref="I22:I39" si="5">+G22*2</f>
        <v>16</v>
      </c>
      <c r="J22" s="40" t="s">
        <v>15</v>
      </c>
      <c r="K22" s="59">
        <v>19500.0</v>
      </c>
      <c r="L22" s="60"/>
    </row>
    <row r="23">
      <c r="A23" s="51" t="s">
        <v>38</v>
      </c>
      <c r="B23" s="39" t="s">
        <v>39</v>
      </c>
      <c r="C23" s="37" t="s">
        <v>40</v>
      </c>
      <c r="D23" s="37">
        <v>5.0</v>
      </c>
      <c r="E23" s="38">
        <v>5.0</v>
      </c>
      <c r="F23" s="40" t="s">
        <v>15</v>
      </c>
      <c r="G23" s="55">
        <f t="shared" si="4"/>
        <v>10</v>
      </c>
      <c r="H23" s="40" t="s">
        <v>15</v>
      </c>
      <c r="I23" s="55">
        <f t="shared" si="5"/>
        <v>20</v>
      </c>
      <c r="J23" s="40" t="s">
        <v>15</v>
      </c>
      <c r="K23" s="44">
        <v>19500.0</v>
      </c>
      <c r="L23" s="56"/>
    </row>
    <row r="24">
      <c r="A24" s="51" t="s">
        <v>41</v>
      </c>
      <c r="B24" s="39" t="s">
        <v>42</v>
      </c>
      <c r="C24" s="37" t="s">
        <v>40</v>
      </c>
      <c r="D24" s="37">
        <v>5.0</v>
      </c>
      <c r="E24" s="38">
        <v>5.0</v>
      </c>
      <c r="F24" s="40" t="s">
        <v>15</v>
      </c>
      <c r="G24" s="55">
        <f t="shared" si="4"/>
        <v>10</v>
      </c>
      <c r="H24" s="40" t="s">
        <v>15</v>
      </c>
      <c r="I24" s="55">
        <f t="shared" si="5"/>
        <v>20</v>
      </c>
      <c r="J24" s="40" t="s">
        <v>15</v>
      </c>
      <c r="K24" s="44">
        <v>19500.0</v>
      </c>
      <c r="L24" s="56"/>
    </row>
    <row r="25">
      <c r="A25" s="51" t="s">
        <v>43</v>
      </c>
      <c r="B25" s="39" t="s">
        <v>44</v>
      </c>
      <c r="C25" s="37" t="s">
        <v>45</v>
      </c>
      <c r="D25" s="37">
        <v>6.0</v>
      </c>
      <c r="E25" s="38">
        <v>5.4</v>
      </c>
      <c r="F25" s="40" t="s">
        <v>15</v>
      </c>
      <c r="G25" s="55">
        <f t="shared" si="4"/>
        <v>10.8</v>
      </c>
      <c r="H25" s="40" t="s">
        <v>15</v>
      </c>
      <c r="I25" s="55">
        <f t="shared" si="5"/>
        <v>21.6</v>
      </c>
      <c r="J25" s="40" t="s">
        <v>15</v>
      </c>
      <c r="K25" s="44">
        <v>20000.0</v>
      </c>
      <c r="L25" s="56"/>
    </row>
    <row r="26">
      <c r="A26" s="51" t="s">
        <v>46</v>
      </c>
      <c r="B26" s="39" t="s">
        <v>47</v>
      </c>
      <c r="C26" s="37" t="s">
        <v>40</v>
      </c>
      <c r="D26" s="37">
        <v>6.0</v>
      </c>
      <c r="E26" s="38">
        <v>6.0</v>
      </c>
      <c r="F26" s="40" t="s">
        <v>15</v>
      </c>
      <c r="G26" s="55">
        <f t="shared" si="4"/>
        <v>12</v>
      </c>
      <c r="H26" s="40" t="s">
        <v>15</v>
      </c>
      <c r="I26" s="55">
        <f t="shared" si="5"/>
        <v>24</v>
      </c>
      <c r="J26" s="40" t="s">
        <v>15</v>
      </c>
      <c r="K26" s="44">
        <v>20000.0</v>
      </c>
      <c r="L26" s="56"/>
    </row>
    <row r="27">
      <c r="A27" s="51" t="s">
        <v>48</v>
      </c>
      <c r="B27" s="39" t="s">
        <v>49</v>
      </c>
      <c r="C27" s="37" t="s">
        <v>40</v>
      </c>
      <c r="D27" s="37">
        <v>5.0</v>
      </c>
      <c r="E27" s="38">
        <v>5.0</v>
      </c>
      <c r="F27" s="40" t="s">
        <v>15</v>
      </c>
      <c r="G27" s="55">
        <f t="shared" si="4"/>
        <v>10</v>
      </c>
      <c r="H27" s="40" t="s">
        <v>15</v>
      </c>
      <c r="I27" s="55">
        <f t="shared" si="5"/>
        <v>20</v>
      </c>
      <c r="J27" s="40" t="s">
        <v>15</v>
      </c>
      <c r="K27" s="44">
        <v>24000.0</v>
      </c>
      <c r="L27" s="56"/>
    </row>
    <row r="28">
      <c r="A28" s="51" t="s">
        <v>50</v>
      </c>
      <c r="B28" s="39" t="s">
        <v>51</v>
      </c>
      <c r="C28" s="37" t="s">
        <v>40</v>
      </c>
      <c r="D28" s="37">
        <v>6.0</v>
      </c>
      <c r="E28" s="38">
        <v>6.0</v>
      </c>
      <c r="F28" s="40" t="s">
        <v>15</v>
      </c>
      <c r="G28" s="55">
        <f t="shared" si="4"/>
        <v>12</v>
      </c>
      <c r="H28" s="40" t="s">
        <v>15</v>
      </c>
      <c r="I28" s="55">
        <f t="shared" si="5"/>
        <v>24</v>
      </c>
      <c r="J28" s="40" t="s">
        <v>15</v>
      </c>
      <c r="K28" s="44">
        <v>24000.0</v>
      </c>
      <c r="L28" s="56"/>
    </row>
    <row r="29">
      <c r="A29" s="51" t="s">
        <v>52</v>
      </c>
      <c r="B29" s="43" t="s">
        <v>53</v>
      </c>
      <c r="C29" s="37" t="s">
        <v>54</v>
      </c>
      <c r="D29" s="37">
        <v>5.0</v>
      </c>
      <c r="E29" s="38">
        <v>5.0</v>
      </c>
      <c r="F29" s="40" t="s">
        <v>15</v>
      </c>
      <c r="G29" s="55">
        <f t="shared" si="4"/>
        <v>10</v>
      </c>
      <c r="H29" s="40" t="s">
        <v>15</v>
      </c>
      <c r="I29" s="55">
        <f t="shared" si="5"/>
        <v>20</v>
      </c>
      <c r="J29" s="40" t="s">
        <v>15</v>
      </c>
      <c r="K29" s="44">
        <v>25000.0</v>
      </c>
      <c r="L29" s="56"/>
    </row>
    <row r="30">
      <c r="A30" s="51" t="s">
        <v>55</v>
      </c>
      <c r="B30" s="39" t="s">
        <v>56</v>
      </c>
      <c r="C30" s="37" t="s">
        <v>57</v>
      </c>
      <c r="D30" s="37">
        <v>1.0</v>
      </c>
      <c r="E30" s="38">
        <v>3.0</v>
      </c>
      <c r="F30" s="40" t="s">
        <v>15</v>
      </c>
      <c r="G30" s="55">
        <f t="shared" si="4"/>
        <v>6</v>
      </c>
      <c r="H30" s="40" t="s">
        <v>15</v>
      </c>
      <c r="I30" s="55">
        <f t="shared" si="5"/>
        <v>12</v>
      </c>
      <c r="J30" s="40" t="s">
        <v>15</v>
      </c>
      <c r="K30" s="44">
        <v>18500.0</v>
      </c>
      <c r="L30" s="56"/>
    </row>
    <row r="31">
      <c r="A31" s="51" t="s">
        <v>58</v>
      </c>
      <c r="B31" s="39" t="s">
        <v>59</v>
      </c>
      <c r="C31" s="37" t="s">
        <v>60</v>
      </c>
      <c r="D31" s="37">
        <v>6.0</v>
      </c>
      <c r="E31" s="38">
        <v>6.0</v>
      </c>
      <c r="F31" s="40" t="s">
        <v>15</v>
      </c>
      <c r="G31" s="55">
        <f t="shared" si="4"/>
        <v>12</v>
      </c>
      <c r="H31" s="40" t="s">
        <v>15</v>
      </c>
      <c r="I31" s="55">
        <f t="shared" si="5"/>
        <v>24</v>
      </c>
      <c r="J31" s="40" t="s">
        <v>15</v>
      </c>
      <c r="K31" s="44">
        <v>21500.0</v>
      </c>
      <c r="L31" s="45"/>
    </row>
    <row r="32">
      <c r="A32" s="51" t="s">
        <v>61</v>
      </c>
      <c r="B32" s="43" t="s">
        <v>62</v>
      </c>
      <c r="C32" s="37" t="s">
        <v>40</v>
      </c>
      <c r="D32" s="37">
        <v>5.0</v>
      </c>
      <c r="E32" s="38">
        <v>5.0</v>
      </c>
      <c r="F32" s="40" t="s">
        <v>15</v>
      </c>
      <c r="G32" s="55">
        <f t="shared" si="4"/>
        <v>10</v>
      </c>
      <c r="H32" s="40" t="s">
        <v>15</v>
      </c>
      <c r="I32" s="55">
        <f t="shared" si="5"/>
        <v>20</v>
      </c>
      <c r="J32" s="40" t="s">
        <v>15</v>
      </c>
      <c r="K32" s="44">
        <v>18000.0</v>
      </c>
      <c r="L32" s="45"/>
    </row>
    <row r="33">
      <c r="A33" s="51" t="s">
        <v>63</v>
      </c>
      <c r="B33" s="43" t="s">
        <v>64</v>
      </c>
      <c r="C33" s="37" t="s">
        <v>40</v>
      </c>
      <c r="D33" s="37">
        <v>5.0</v>
      </c>
      <c r="E33" s="38">
        <v>5.0</v>
      </c>
      <c r="F33" s="40" t="s">
        <v>15</v>
      </c>
      <c r="G33" s="55">
        <f t="shared" si="4"/>
        <v>10</v>
      </c>
      <c r="H33" s="40" t="s">
        <v>15</v>
      </c>
      <c r="I33" s="55">
        <f t="shared" si="5"/>
        <v>20</v>
      </c>
      <c r="J33" s="40" t="s">
        <v>15</v>
      </c>
      <c r="K33" s="44">
        <v>10000.0</v>
      </c>
      <c r="L33" s="61"/>
      <c r="N33" s="62"/>
    </row>
    <row r="34">
      <c r="A34" s="51" t="s">
        <v>65</v>
      </c>
      <c r="B34" s="43" t="s">
        <v>66</v>
      </c>
      <c r="C34" s="37" t="s">
        <v>40</v>
      </c>
      <c r="D34" s="37">
        <v>5.0</v>
      </c>
      <c r="E34" s="38">
        <v>5.0</v>
      </c>
      <c r="F34" s="40" t="s">
        <v>15</v>
      </c>
      <c r="G34" s="55">
        <f t="shared" si="4"/>
        <v>10</v>
      </c>
      <c r="H34" s="40" t="s">
        <v>15</v>
      </c>
      <c r="I34" s="55">
        <f t="shared" si="5"/>
        <v>20</v>
      </c>
      <c r="J34" s="40" t="s">
        <v>15</v>
      </c>
      <c r="K34" s="44">
        <v>18000.0</v>
      </c>
      <c r="L34" s="45"/>
      <c r="N34" s="62"/>
    </row>
    <row r="35">
      <c r="A35" s="51" t="s">
        <v>67</v>
      </c>
      <c r="B35" s="43" t="s">
        <v>68</v>
      </c>
      <c r="C35" s="37" t="s">
        <v>40</v>
      </c>
      <c r="D35" s="37">
        <v>5.0</v>
      </c>
      <c r="E35" s="38">
        <v>5.0</v>
      </c>
      <c r="F35" s="40" t="s">
        <v>15</v>
      </c>
      <c r="G35" s="55">
        <f t="shared" si="4"/>
        <v>10</v>
      </c>
      <c r="H35" s="40" t="s">
        <v>15</v>
      </c>
      <c r="I35" s="55">
        <f t="shared" si="5"/>
        <v>20</v>
      </c>
      <c r="J35" s="40" t="s">
        <v>15</v>
      </c>
      <c r="K35" s="44">
        <v>4000.0</v>
      </c>
      <c r="L35" s="45"/>
      <c r="N35" s="62"/>
    </row>
    <row r="36">
      <c r="A36" s="51" t="s">
        <v>69</v>
      </c>
      <c r="B36" s="43" t="s">
        <v>70</v>
      </c>
      <c r="C36" s="37" t="s">
        <v>40</v>
      </c>
      <c r="D36" s="37">
        <v>5.0</v>
      </c>
      <c r="E36" s="38">
        <v>5.0</v>
      </c>
      <c r="F36" s="40" t="s">
        <v>15</v>
      </c>
      <c r="G36" s="55">
        <f t="shared" si="4"/>
        <v>10</v>
      </c>
      <c r="H36" s="40" t="s">
        <v>15</v>
      </c>
      <c r="I36" s="55">
        <f t="shared" si="5"/>
        <v>20</v>
      </c>
      <c r="J36" s="40" t="s">
        <v>15</v>
      </c>
      <c r="K36" s="44">
        <v>5000.0</v>
      </c>
      <c r="L36" s="45"/>
      <c r="N36" s="62"/>
    </row>
    <row r="37">
      <c r="A37" s="51" t="s">
        <v>71</v>
      </c>
      <c r="B37" s="43" t="s">
        <v>72</v>
      </c>
      <c r="C37" s="37" t="s">
        <v>40</v>
      </c>
      <c r="D37" s="37">
        <v>5.0</v>
      </c>
      <c r="E37" s="38">
        <v>5.0</v>
      </c>
      <c r="F37" s="40" t="s">
        <v>15</v>
      </c>
      <c r="G37" s="55">
        <f t="shared" si="4"/>
        <v>10</v>
      </c>
      <c r="H37" s="40" t="s">
        <v>15</v>
      </c>
      <c r="I37" s="55">
        <f t="shared" si="5"/>
        <v>20</v>
      </c>
      <c r="J37" s="40" t="s">
        <v>15</v>
      </c>
      <c r="K37" s="44">
        <v>10000.0</v>
      </c>
      <c r="L37" s="45"/>
      <c r="N37" s="62"/>
    </row>
    <row r="38">
      <c r="A38" s="51" t="s">
        <v>73</v>
      </c>
      <c r="B38" s="43" t="s">
        <v>74</v>
      </c>
      <c r="C38" s="37" t="s">
        <v>40</v>
      </c>
      <c r="D38" s="37">
        <v>5.0</v>
      </c>
      <c r="E38" s="38">
        <v>5.0</v>
      </c>
      <c r="F38" s="40" t="s">
        <v>15</v>
      </c>
      <c r="G38" s="55">
        <f t="shared" si="4"/>
        <v>10</v>
      </c>
      <c r="H38" s="40" t="s">
        <v>15</v>
      </c>
      <c r="I38" s="55">
        <f t="shared" si="5"/>
        <v>20</v>
      </c>
      <c r="J38" s="40" t="s">
        <v>15</v>
      </c>
      <c r="K38" s="44">
        <v>2000.0</v>
      </c>
      <c r="L38" s="45"/>
      <c r="N38" s="62"/>
    </row>
    <row r="39">
      <c r="A39" s="51" t="s">
        <v>75</v>
      </c>
      <c r="B39" s="43" t="s">
        <v>76</v>
      </c>
      <c r="C39" s="37" t="s">
        <v>40</v>
      </c>
      <c r="D39" s="37">
        <v>5.0</v>
      </c>
      <c r="E39" s="38">
        <v>5.0</v>
      </c>
      <c r="F39" s="40" t="s">
        <v>15</v>
      </c>
      <c r="G39" s="55">
        <f t="shared" si="4"/>
        <v>10</v>
      </c>
      <c r="H39" s="40" t="s">
        <v>15</v>
      </c>
      <c r="I39" s="55">
        <f t="shared" si="5"/>
        <v>20</v>
      </c>
      <c r="J39" s="40" t="s">
        <v>15</v>
      </c>
      <c r="K39" s="44">
        <v>6000.0</v>
      </c>
      <c r="L39" s="45"/>
      <c r="N39" s="62"/>
    </row>
    <row r="40">
      <c r="A40" s="51"/>
      <c r="B40" s="39"/>
      <c r="C40" s="37"/>
      <c r="D40" s="37"/>
      <c r="E40" s="38"/>
      <c r="F40" s="40"/>
      <c r="G40" s="55"/>
      <c r="H40" s="40"/>
      <c r="I40" s="55"/>
      <c r="J40" s="40"/>
      <c r="K40" s="44"/>
      <c r="L40" s="45"/>
    </row>
    <row r="41">
      <c r="A41" s="46"/>
      <c r="B41" s="47" t="s">
        <v>77</v>
      </c>
      <c r="C41" s="48" t="s">
        <v>23</v>
      </c>
      <c r="D41" s="48" t="str">
        <f>+D21</f>
        <v>Packs/Small Box</v>
      </c>
      <c r="E41" s="48" t="s">
        <v>9</v>
      </c>
      <c r="F41" s="49"/>
      <c r="G41" s="48" t="s">
        <v>10</v>
      </c>
      <c r="H41" s="49"/>
      <c r="I41" s="48" t="s">
        <v>11</v>
      </c>
      <c r="J41" s="49"/>
      <c r="K41" s="50" t="s">
        <v>6</v>
      </c>
      <c r="L41" s="50" t="s">
        <v>7</v>
      </c>
    </row>
    <row r="42">
      <c r="A42" s="51" t="s">
        <v>78</v>
      </c>
      <c r="B42" s="63" t="s">
        <v>79</v>
      </c>
      <c r="C42" s="64" t="s">
        <v>80</v>
      </c>
      <c r="D42" s="58">
        <v>2.0</v>
      </c>
      <c r="E42" s="55">
        <v>5.0</v>
      </c>
      <c r="F42" s="40" t="s">
        <v>15</v>
      </c>
      <c r="G42" s="55">
        <f t="shared" ref="G42:G43" si="6">+E42*2</f>
        <v>10</v>
      </c>
      <c r="H42" s="40" t="s">
        <v>15</v>
      </c>
      <c r="I42" s="55">
        <f t="shared" ref="I42:I43" si="7">+G42*2</f>
        <v>20</v>
      </c>
      <c r="J42" s="40" t="s">
        <v>15</v>
      </c>
      <c r="K42" s="65">
        <v>25000.0</v>
      </c>
      <c r="L42" s="66"/>
    </row>
    <row r="43">
      <c r="A43" s="51" t="s">
        <v>81</v>
      </c>
      <c r="B43" s="52" t="s">
        <v>82</v>
      </c>
      <c r="C43" s="37" t="s">
        <v>40</v>
      </c>
      <c r="D43" s="37">
        <v>6.0</v>
      </c>
      <c r="E43" s="38">
        <v>6.0</v>
      </c>
      <c r="F43" s="39" t="s">
        <v>15</v>
      </c>
      <c r="G43" s="55">
        <f t="shared" si="6"/>
        <v>12</v>
      </c>
      <c r="H43" s="39" t="s">
        <v>15</v>
      </c>
      <c r="I43" s="55">
        <f t="shared" si="7"/>
        <v>24</v>
      </c>
      <c r="J43" s="39" t="s">
        <v>15</v>
      </c>
      <c r="K43" s="44">
        <v>23000.0</v>
      </c>
      <c r="L43" s="56"/>
    </row>
    <row r="44">
      <c r="A44" s="67" t="s">
        <v>83</v>
      </c>
      <c r="B44" s="68" t="s">
        <v>84</v>
      </c>
      <c r="C44" s="36" t="s">
        <v>14</v>
      </c>
      <c r="D44" s="37"/>
      <c r="E44" s="38"/>
      <c r="F44" s="39" t="s">
        <v>15</v>
      </c>
      <c r="G44" s="38"/>
      <c r="H44" s="43" t="s">
        <v>15</v>
      </c>
      <c r="I44" s="55"/>
      <c r="J44" s="39" t="s">
        <v>15</v>
      </c>
      <c r="K44" s="44">
        <v>20000.0</v>
      </c>
      <c r="L44" s="56"/>
    </row>
    <row r="45">
      <c r="A45" s="69"/>
      <c r="B45" s="70"/>
      <c r="C45" s="71"/>
      <c r="D45" s="72"/>
      <c r="E45" s="70"/>
      <c r="F45" s="70"/>
      <c r="G45" s="70"/>
      <c r="H45" s="70"/>
      <c r="I45" s="70"/>
      <c r="J45" s="70"/>
      <c r="K45" s="73"/>
      <c r="L45" s="74"/>
    </row>
    <row r="46">
      <c r="A46" s="46"/>
      <c r="B46" s="47" t="s">
        <v>85</v>
      </c>
      <c r="C46" s="48" t="s">
        <v>23</v>
      </c>
      <c r="D46" s="48" t="str">
        <f>+D41</f>
        <v>Packs/Small Box</v>
      </c>
      <c r="E46" s="48" t="s">
        <v>9</v>
      </c>
      <c r="F46" s="49"/>
      <c r="G46" s="48" t="s">
        <v>10</v>
      </c>
      <c r="H46" s="49"/>
      <c r="I46" s="48" t="s">
        <v>11</v>
      </c>
      <c r="J46" s="49"/>
      <c r="K46" s="50" t="s">
        <v>6</v>
      </c>
      <c r="L46" s="50" t="s">
        <v>7</v>
      </c>
    </row>
    <row r="47">
      <c r="A47" s="51" t="s">
        <v>86</v>
      </c>
      <c r="B47" s="52" t="s">
        <v>87</v>
      </c>
      <c r="C47" s="58" t="str">
        <f t="shared" ref="C47:C48" si="9">+C42</f>
        <v> +/- 2,5 kg</v>
      </c>
      <c r="D47" s="58">
        <v>2.0</v>
      </c>
      <c r="E47" s="38">
        <f t="shared" ref="E47:J47" si="8">+E42</f>
        <v>5</v>
      </c>
      <c r="F47" s="39" t="str">
        <f t="shared" si="8"/>
        <v>kg</v>
      </c>
      <c r="G47" s="38">
        <f t="shared" si="8"/>
        <v>10</v>
      </c>
      <c r="H47" s="39" t="str">
        <f t="shared" si="8"/>
        <v>kg</v>
      </c>
      <c r="I47" s="38">
        <f t="shared" si="8"/>
        <v>20</v>
      </c>
      <c r="J47" s="39" t="str">
        <f t="shared" si="8"/>
        <v>kg</v>
      </c>
      <c r="K47" s="65">
        <v>25000.0</v>
      </c>
      <c r="L47" s="45"/>
    </row>
    <row r="48">
      <c r="A48" s="51" t="s">
        <v>88</v>
      </c>
      <c r="B48" s="68" t="s">
        <v>89</v>
      </c>
      <c r="C48" s="37" t="str">
        <f t="shared" si="9"/>
        <v> +/-  1 kg </v>
      </c>
      <c r="D48" s="37">
        <v>6.0</v>
      </c>
      <c r="E48" s="38">
        <f t="shared" ref="E48:J48" si="10">+E43</f>
        <v>6</v>
      </c>
      <c r="F48" s="39" t="str">
        <f t="shared" si="10"/>
        <v>kg</v>
      </c>
      <c r="G48" s="38">
        <f t="shared" si="10"/>
        <v>12</v>
      </c>
      <c r="H48" s="39" t="str">
        <f t="shared" si="10"/>
        <v>kg</v>
      </c>
      <c r="I48" s="38">
        <f t="shared" si="10"/>
        <v>24</v>
      </c>
      <c r="J48" s="39" t="str">
        <f t="shared" si="10"/>
        <v>kg</v>
      </c>
      <c r="K48" s="44">
        <v>25000.0</v>
      </c>
      <c r="L48" s="45"/>
    </row>
    <row r="49">
      <c r="A49" s="67" t="s">
        <v>90</v>
      </c>
      <c r="B49" s="68" t="s">
        <v>91</v>
      </c>
      <c r="C49" s="75" t="s">
        <v>14</v>
      </c>
      <c r="D49" s="76"/>
      <c r="E49" s="38" t="str">
        <f t="shared" ref="E49:G49" si="11">+E44</f>
        <v/>
      </c>
      <c r="F49" s="39" t="str">
        <f t="shared" si="11"/>
        <v>kg</v>
      </c>
      <c r="G49" s="38" t="str">
        <f t="shared" si="11"/>
        <v/>
      </c>
      <c r="H49" s="43" t="s">
        <v>15</v>
      </c>
      <c r="I49" s="38" t="str">
        <f t="shared" ref="I49:J49" si="12">+I44</f>
        <v/>
      </c>
      <c r="J49" s="39" t="str">
        <f t="shared" si="12"/>
        <v>kg</v>
      </c>
      <c r="K49" s="44">
        <v>20000.0</v>
      </c>
      <c r="L49" s="45"/>
    </row>
    <row r="50">
      <c r="A50" s="69"/>
      <c r="B50" s="77"/>
      <c r="C50" s="78"/>
      <c r="D50" s="78"/>
      <c r="E50" s="79"/>
      <c r="F50" s="79"/>
      <c r="G50" s="79"/>
      <c r="H50" s="79"/>
      <c r="I50" s="79"/>
      <c r="J50" s="79"/>
      <c r="K50" s="80"/>
      <c r="L50" s="45"/>
    </row>
    <row r="51">
      <c r="A51" s="81" t="s">
        <v>92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ht="27.0" customHeight="1">
      <c r="A52" s="46"/>
      <c r="B52" s="84" t="s">
        <v>93</v>
      </c>
      <c r="C52" s="48" t="s">
        <v>23</v>
      </c>
      <c r="D52" s="48" t="str">
        <f>+D44</f>
        <v/>
      </c>
      <c r="E52" s="48" t="s">
        <v>9</v>
      </c>
      <c r="F52" s="49"/>
      <c r="G52" s="48" t="s">
        <v>10</v>
      </c>
      <c r="H52" s="49"/>
      <c r="I52" s="48" t="s">
        <v>11</v>
      </c>
      <c r="J52" s="49"/>
      <c r="K52" s="50" t="s">
        <v>6</v>
      </c>
      <c r="L52" s="50" t="s">
        <v>7</v>
      </c>
    </row>
    <row r="53">
      <c r="A53" s="51" t="s">
        <v>94</v>
      </c>
      <c r="B53" s="39" t="s">
        <v>95</v>
      </c>
      <c r="C53" s="37" t="s">
        <v>96</v>
      </c>
      <c r="D53" s="37">
        <v>5.0</v>
      </c>
      <c r="E53" s="38">
        <v>5.0</v>
      </c>
      <c r="F53" s="40" t="s">
        <v>15</v>
      </c>
      <c r="G53" s="55">
        <v>10.0</v>
      </c>
      <c r="H53" s="40" t="s">
        <v>15</v>
      </c>
      <c r="I53" s="55">
        <v>20.0</v>
      </c>
      <c r="J53" s="40" t="s">
        <v>15</v>
      </c>
      <c r="K53" s="44">
        <f t="shared" ref="K53:K55" si="13">L53/1.18</f>
        <v>10593.22034</v>
      </c>
      <c r="L53" s="85">
        <v>12500.0</v>
      </c>
    </row>
    <row r="54">
      <c r="A54" s="51" t="s">
        <v>97</v>
      </c>
      <c r="B54" s="39" t="s">
        <v>98</v>
      </c>
      <c r="C54" s="37" t="s">
        <v>96</v>
      </c>
      <c r="D54" s="37">
        <v>5.0</v>
      </c>
      <c r="E54" s="38">
        <v>5.0</v>
      </c>
      <c r="F54" s="40" t="s">
        <v>15</v>
      </c>
      <c r="G54" s="55">
        <v>10.0</v>
      </c>
      <c r="H54" s="40" t="s">
        <v>15</v>
      </c>
      <c r="I54" s="55">
        <v>20.0</v>
      </c>
      <c r="J54" s="40" t="s">
        <v>15</v>
      </c>
      <c r="K54" s="44">
        <f t="shared" si="13"/>
        <v>10593.22034</v>
      </c>
      <c r="L54" s="61">
        <v>12500.0</v>
      </c>
    </row>
    <row r="55">
      <c r="A55" s="51" t="s">
        <v>99</v>
      </c>
      <c r="B55" s="43" t="s">
        <v>100</v>
      </c>
      <c r="C55" s="37" t="s">
        <v>96</v>
      </c>
      <c r="D55" s="37">
        <v>5.0</v>
      </c>
      <c r="E55" s="38">
        <v>5.0</v>
      </c>
      <c r="F55" s="40" t="s">
        <v>15</v>
      </c>
      <c r="G55" s="55">
        <v>10.0</v>
      </c>
      <c r="H55" s="40" t="s">
        <v>15</v>
      </c>
      <c r="I55" s="55">
        <v>20.0</v>
      </c>
      <c r="J55" s="40" t="s">
        <v>15</v>
      </c>
      <c r="K55" s="44">
        <f t="shared" si="13"/>
        <v>10593.22034</v>
      </c>
      <c r="L55" s="61">
        <v>12500.0</v>
      </c>
    </row>
    <row r="56">
      <c r="A56" s="51" t="s">
        <v>101</v>
      </c>
      <c r="B56" s="43" t="s">
        <v>102</v>
      </c>
      <c r="C56" s="37" t="s">
        <v>96</v>
      </c>
      <c r="D56" s="37">
        <v>5.0</v>
      </c>
      <c r="E56" s="38">
        <v>5.0</v>
      </c>
      <c r="F56" s="40" t="s">
        <v>15</v>
      </c>
      <c r="G56" s="55">
        <v>10.0</v>
      </c>
      <c r="H56" s="40" t="s">
        <v>15</v>
      </c>
      <c r="I56" s="55">
        <v>20.0</v>
      </c>
      <c r="J56" s="40" t="s">
        <v>15</v>
      </c>
      <c r="K56" s="44">
        <v>13500.0</v>
      </c>
      <c r="L56" s="61">
        <v>15930.0</v>
      </c>
      <c r="N56" s="62"/>
    </row>
    <row r="57">
      <c r="A57" s="51" t="s">
        <v>103</v>
      </c>
      <c r="B57" s="43" t="s">
        <v>104</v>
      </c>
      <c r="C57" s="37" t="s">
        <v>96</v>
      </c>
      <c r="D57" s="37">
        <v>5.0</v>
      </c>
      <c r="E57" s="38">
        <v>5.0</v>
      </c>
      <c r="F57" s="40" t="s">
        <v>15</v>
      </c>
      <c r="G57" s="55">
        <v>10.0</v>
      </c>
      <c r="H57" s="40" t="s">
        <v>15</v>
      </c>
      <c r="I57" s="55">
        <v>20.0</v>
      </c>
      <c r="J57" s="40" t="s">
        <v>15</v>
      </c>
      <c r="K57" s="44">
        <v>13500.0</v>
      </c>
      <c r="L57" s="45">
        <v>15930.0</v>
      </c>
      <c r="N57" s="62"/>
    </row>
    <row r="58">
      <c r="A58" s="51" t="s">
        <v>105</v>
      </c>
      <c r="B58" s="43" t="s">
        <v>106</v>
      </c>
      <c r="C58" s="37" t="s">
        <v>96</v>
      </c>
      <c r="D58" s="37">
        <v>5.0</v>
      </c>
      <c r="E58" s="38">
        <v>5.0</v>
      </c>
      <c r="F58" s="40" t="s">
        <v>15</v>
      </c>
      <c r="G58" s="55">
        <v>10.0</v>
      </c>
      <c r="H58" s="40" t="s">
        <v>15</v>
      </c>
      <c r="I58" s="55">
        <v>20.0</v>
      </c>
      <c r="J58" s="40" t="s">
        <v>15</v>
      </c>
      <c r="K58" s="44">
        <v>14500.0</v>
      </c>
      <c r="L58" s="45">
        <v>17110.0</v>
      </c>
      <c r="N58" s="62"/>
    </row>
    <row r="59">
      <c r="A59" s="51" t="s">
        <v>107</v>
      </c>
      <c r="B59" s="43" t="s">
        <v>108</v>
      </c>
      <c r="C59" s="37" t="s">
        <v>96</v>
      </c>
      <c r="D59" s="37">
        <v>5.0</v>
      </c>
      <c r="E59" s="38">
        <v>5.0</v>
      </c>
      <c r="F59" s="40" t="s">
        <v>15</v>
      </c>
      <c r="G59" s="55">
        <v>11.0</v>
      </c>
      <c r="H59" s="40" t="s">
        <v>15</v>
      </c>
      <c r="I59" s="55">
        <v>21.0</v>
      </c>
      <c r="J59" s="40" t="s">
        <v>15</v>
      </c>
      <c r="K59" s="44">
        <v>13500.0</v>
      </c>
      <c r="L59" s="45">
        <v>15930.0</v>
      </c>
      <c r="N59" s="62"/>
    </row>
    <row r="60">
      <c r="A60" s="51" t="s">
        <v>109</v>
      </c>
      <c r="B60" s="43" t="s">
        <v>110</v>
      </c>
      <c r="C60" s="37" t="s">
        <v>96</v>
      </c>
      <c r="D60" s="37">
        <v>5.0</v>
      </c>
      <c r="E60" s="38">
        <v>5.0</v>
      </c>
      <c r="F60" s="40" t="s">
        <v>15</v>
      </c>
      <c r="G60" s="55">
        <v>12.0</v>
      </c>
      <c r="H60" s="40" t="s">
        <v>15</v>
      </c>
      <c r="I60" s="55">
        <v>22.0</v>
      </c>
      <c r="J60" s="40" t="s">
        <v>15</v>
      </c>
      <c r="K60" s="44">
        <v>13500.0</v>
      </c>
      <c r="L60" s="45">
        <v>15930.0</v>
      </c>
      <c r="N60" s="62"/>
    </row>
    <row r="61" ht="27.0" customHeight="1">
      <c r="A61" s="46"/>
      <c r="B61" s="84" t="s">
        <v>111</v>
      </c>
      <c r="C61" s="48" t="s">
        <v>23</v>
      </c>
      <c r="D61" s="48">
        <f>+D53</f>
        <v>5</v>
      </c>
      <c r="E61" s="48" t="s">
        <v>9</v>
      </c>
      <c r="F61" s="49"/>
      <c r="G61" s="48" t="s">
        <v>10</v>
      </c>
      <c r="H61" s="49"/>
      <c r="I61" s="48" t="s">
        <v>11</v>
      </c>
      <c r="J61" s="49"/>
      <c r="K61" s="50" t="s">
        <v>6</v>
      </c>
      <c r="L61" s="50" t="s">
        <v>7</v>
      </c>
    </row>
    <row r="62">
      <c r="A62" s="51" t="s">
        <v>112</v>
      </c>
      <c r="B62" s="39" t="s">
        <v>113</v>
      </c>
      <c r="C62" s="37" t="s">
        <v>96</v>
      </c>
      <c r="D62" s="37">
        <v>4.0</v>
      </c>
      <c r="E62" s="38">
        <v>4.0</v>
      </c>
      <c r="F62" s="40" t="s">
        <v>15</v>
      </c>
      <c r="G62" s="55">
        <v>8.0</v>
      </c>
      <c r="H62" s="40" t="s">
        <v>15</v>
      </c>
      <c r="I62" s="55">
        <v>12.0</v>
      </c>
      <c r="J62" s="40" t="s">
        <v>15</v>
      </c>
      <c r="K62" s="44">
        <v>14407.0</v>
      </c>
      <c r="L62" s="56">
        <v>17000.0</v>
      </c>
    </row>
    <row r="63">
      <c r="A63" s="51" t="s">
        <v>114</v>
      </c>
      <c r="B63" s="39" t="s">
        <v>115</v>
      </c>
      <c r="C63" s="37" t="s">
        <v>96</v>
      </c>
      <c r="D63" s="37">
        <v>4.0</v>
      </c>
      <c r="E63" s="38">
        <v>4.0</v>
      </c>
      <c r="F63" s="40" t="s">
        <v>15</v>
      </c>
      <c r="G63" s="55">
        <v>8.0</v>
      </c>
      <c r="H63" s="40" t="s">
        <v>15</v>
      </c>
      <c r="I63" s="55">
        <v>12.0</v>
      </c>
      <c r="J63" s="40" t="s">
        <v>15</v>
      </c>
      <c r="K63" s="44">
        <v>14407.0</v>
      </c>
      <c r="L63" s="45">
        <v>17000.0</v>
      </c>
    </row>
    <row r="64">
      <c r="A64" s="51" t="s">
        <v>116</v>
      </c>
      <c r="B64" s="43" t="s">
        <v>117</v>
      </c>
      <c r="C64" s="37" t="s">
        <v>96</v>
      </c>
      <c r="D64" s="37">
        <v>4.0</v>
      </c>
      <c r="E64" s="38">
        <v>4.0</v>
      </c>
      <c r="F64" s="40" t="s">
        <v>15</v>
      </c>
      <c r="G64" s="55">
        <v>8.0</v>
      </c>
      <c r="H64" s="40" t="s">
        <v>15</v>
      </c>
      <c r="I64" s="55">
        <v>12.0</v>
      </c>
      <c r="J64" s="40" t="s">
        <v>15</v>
      </c>
      <c r="K64" s="44">
        <v>14407.0</v>
      </c>
      <c r="L64" s="45">
        <v>17000.0</v>
      </c>
    </row>
    <row r="65">
      <c r="A65" s="51" t="s">
        <v>118</v>
      </c>
      <c r="B65" s="43" t="s">
        <v>119</v>
      </c>
      <c r="C65" s="37" t="s">
        <v>96</v>
      </c>
      <c r="D65" s="37">
        <v>5.0</v>
      </c>
      <c r="E65" s="38">
        <v>5.0</v>
      </c>
      <c r="F65" s="40" t="s">
        <v>15</v>
      </c>
      <c r="G65" s="55">
        <v>8.0</v>
      </c>
      <c r="H65" s="40" t="s">
        <v>15</v>
      </c>
      <c r="I65" s="55">
        <v>12.0</v>
      </c>
      <c r="J65" s="40" t="s">
        <v>15</v>
      </c>
      <c r="K65" s="44">
        <v>19492.0</v>
      </c>
      <c r="L65" s="61">
        <v>23000.0</v>
      </c>
      <c r="N65" s="62"/>
    </row>
    <row r="66">
      <c r="A66" s="51" t="s">
        <v>120</v>
      </c>
      <c r="B66" s="43" t="s">
        <v>121</v>
      </c>
      <c r="C66" s="37" t="s">
        <v>96</v>
      </c>
      <c r="D66" s="37">
        <v>5.0</v>
      </c>
      <c r="E66" s="38">
        <v>5.0</v>
      </c>
      <c r="F66" s="40" t="s">
        <v>15</v>
      </c>
      <c r="G66" s="55">
        <v>8.0</v>
      </c>
      <c r="H66" s="40" t="s">
        <v>15</v>
      </c>
      <c r="I66" s="55">
        <v>12.0</v>
      </c>
      <c r="J66" s="40" t="s">
        <v>15</v>
      </c>
      <c r="K66" s="44">
        <v>19492.0</v>
      </c>
      <c r="L66" s="45">
        <v>23000.0</v>
      </c>
      <c r="N66" s="62"/>
    </row>
    <row r="67">
      <c r="A67" s="51" t="s">
        <v>122</v>
      </c>
      <c r="B67" s="43" t="s">
        <v>123</v>
      </c>
      <c r="C67" s="37" t="s">
        <v>96</v>
      </c>
      <c r="D67" s="37">
        <v>5.0</v>
      </c>
      <c r="E67" s="38">
        <v>5.0</v>
      </c>
      <c r="F67" s="40" t="s">
        <v>15</v>
      </c>
      <c r="G67" s="55">
        <v>8.0</v>
      </c>
      <c r="H67" s="40" t="s">
        <v>15</v>
      </c>
      <c r="I67" s="55">
        <v>12.0</v>
      </c>
      <c r="J67" s="40" t="s">
        <v>15</v>
      </c>
      <c r="K67" s="44">
        <v>19492.0</v>
      </c>
      <c r="L67" s="45">
        <v>23000.0</v>
      </c>
      <c r="N67" s="62"/>
    </row>
    <row r="68">
      <c r="A68" s="51" t="s">
        <v>124</v>
      </c>
      <c r="B68" s="43" t="s">
        <v>125</v>
      </c>
      <c r="C68" s="37" t="s">
        <v>96</v>
      </c>
      <c r="D68" s="37">
        <v>4.0</v>
      </c>
      <c r="E68" s="38">
        <v>4.0</v>
      </c>
      <c r="F68" s="40" t="s">
        <v>15</v>
      </c>
      <c r="G68" s="55">
        <v>8.0</v>
      </c>
      <c r="H68" s="40" t="s">
        <v>15</v>
      </c>
      <c r="I68" s="55">
        <v>12.0</v>
      </c>
      <c r="J68" s="40" t="s">
        <v>15</v>
      </c>
      <c r="K68" s="44">
        <v>23729.0</v>
      </c>
      <c r="L68" s="45">
        <v>28000.0</v>
      </c>
      <c r="N68" s="62"/>
    </row>
    <row r="69">
      <c r="A69" s="51" t="s">
        <v>126</v>
      </c>
      <c r="B69" s="43" t="s">
        <v>127</v>
      </c>
      <c r="C69" s="37" t="s">
        <v>96</v>
      </c>
      <c r="D69" s="37">
        <v>5.0</v>
      </c>
      <c r="E69" s="38">
        <v>4.0</v>
      </c>
      <c r="F69" s="40" t="s">
        <v>15</v>
      </c>
      <c r="G69" s="55">
        <v>8.0</v>
      </c>
      <c r="H69" s="40" t="s">
        <v>15</v>
      </c>
      <c r="I69" s="55">
        <v>12.0</v>
      </c>
      <c r="J69" s="40" t="s">
        <v>15</v>
      </c>
      <c r="K69" s="44">
        <v>15678.0</v>
      </c>
      <c r="L69" s="45">
        <v>18500.0</v>
      </c>
      <c r="N69" s="62"/>
    </row>
    <row r="70">
      <c r="A70" s="51" t="s">
        <v>128</v>
      </c>
      <c r="B70" s="39" t="s">
        <v>129</v>
      </c>
      <c r="C70" s="37" t="s">
        <v>96</v>
      </c>
      <c r="D70" s="37">
        <v>5.0</v>
      </c>
      <c r="E70" s="38">
        <v>4.0</v>
      </c>
      <c r="F70" s="40" t="s">
        <v>15</v>
      </c>
      <c r="G70" s="55">
        <v>8.0</v>
      </c>
      <c r="H70" s="40" t="s">
        <v>15</v>
      </c>
      <c r="I70" s="55">
        <v>12.0</v>
      </c>
      <c r="J70" s="40" t="s">
        <v>15</v>
      </c>
      <c r="K70" s="44">
        <v>15678.0</v>
      </c>
      <c r="L70" s="56">
        <v>18500.0</v>
      </c>
    </row>
    <row r="71">
      <c r="A71" s="51" t="s">
        <v>130</v>
      </c>
      <c r="B71" s="39" t="s">
        <v>131</v>
      </c>
      <c r="C71" s="37" t="s">
        <v>96</v>
      </c>
      <c r="D71" s="37">
        <v>4.0</v>
      </c>
      <c r="E71" s="38">
        <v>4.0</v>
      </c>
      <c r="F71" s="40" t="s">
        <v>15</v>
      </c>
      <c r="G71" s="55">
        <v>8.0</v>
      </c>
      <c r="H71" s="40" t="s">
        <v>15</v>
      </c>
      <c r="I71" s="55">
        <v>12.0</v>
      </c>
      <c r="J71" s="40" t="s">
        <v>15</v>
      </c>
      <c r="K71" s="44">
        <v>12500.0</v>
      </c>
      <c r="L71" s="45">
        <v>14750.0</v>
      </c>
    </row>
    <row r="72">
      <c r="A72" s="51" t="s">
        <v>132</v>
      </c>
      <c r="B72" s="43" t="s">
        <v>133</v>
      </c>
      <c r="C72" s="37" t="s">
        <v>134</v>
      </c>
      <c r="D72" s="37">
        <v>4.0</v>
      </c>
      <c r="E72" s="38">
        <v>4.0</v>
      </c>
      <c r="F72" s="40" t="s">
        <v>15</v>
      </c>
      <c r="G72" s="55">
        <v>8.0</v>
      </c>
      <c r="H72" s="40" t="s">
        <v>15</v>
      </c>
      <c r="I72" s="55">
        <v>12.0</v>
      </c>
      <c r="J72" s="40" t="s">
        <v>15</v>
      </c>
      <c r="K72" s="44">
        <v>12500.0</v>
      </c>
      <c r="L72" s="45">
        <v>14750.0</v>
      </c>
    </row>
    <row r="73">
      <c r="A73" s="51" t="s">
        <v>135</v>
      </c>
      <c r="B73" s="43" t="s">
        <v>136</v>
      </c>
      <c r="C73" s="37" t="s">
        <v>134</v>
      </c>
      <c r="D73" s="37">
        <v>4.0</v>
      </c>
      <c r="E73" s="38">
        <v>4.0</v>
      </c>
      <c r="F73" s="40" t="s">
        <v>15</v>
      </c>
      <c r="G73" s="55">
        <v>8.0</v>
      </c>
      <c r="H73" s="40" t="s">
        <v>15</v>
      </c>
      <c r="I73" s="55">
        <v>12.0</v>
      </c>
      <c r="J73" s="40" t="s">
        <v>15</v>
      </c>
      <c r="K73" s="44">
        <v>18000.0</v>
      </c>
      <c r="L73" s="61">
        <v>21240.0</v>
      </c>
      <c r="N73" s="62"/>
    </row>
    <row r="74">
      <c r="A74" s="51" t="s">
        <v>137</v>
      </c>
      <c r="B74" s="43" t="s">
        <v>138</v>
      </c>
      <c r="C74" s="37" t="s">
        <v>134</v>
      </c>
      <c r="D74" s="37">
        <v>4.0</v>
      </c>
      <c r="E74" s="38">
        <v>4.0</v>
      </c>
      <c r="F74" s="40" t="s">
        <v>15</v>
      </c>
      <c r="G74" s="55">
        <v>8.0</v>
      </c>
      <c r="H74" s="40" t="s">
        <v>15</v>
      </c>
      <c r="I74" s="55">
        <v>12.0</v>
      </c>
      <c r="J74" s="40" t="s">
        <v>15</v>
      </c>
      <c r="K74" s="44">
        <v>18000.0</v>
      </c>
      <c r="L74" s="45">
        <v>21240.0</v>
      </c>
      <c r="N74" s="62"/>
    </row>
    <row r="75">
      <c r="A75" s="51" t="s">
        <v>139</v>
      </c>
      <c r="B75" s="43" t="s">
        <v>140</v>
      </c>
      <c r="C75" s="37" t="s">
        <v>141</v>
      </c>
      <c r="D75" s="37">
        <v>4.0</v>
      </c>
      <c r="E75" s="38">
        <v>4.0</v>
      </c>
      <c r="F75" s="40" t="s">
        <v>15</v>
      </c>
      <c r="G75" s="55">
        <v>8.0</v>
      </c>
      <c r="H75" s="40" t="s">
        <v>15</v>
      </c>
      <c r="I75" s="55">
        <v>12.0</v>
      </c>
      <c r="J75" s="40" t="s">
        <v>15</v>
      </c>
      <c r="K75" s="44">
        <v>22034.0</v>
      </c>
      <c r="L75" s="45">
        <v>26000.0</v>
      </c>
      <c r="N75" s="62"/>
    </row>
    <row r="76">
      <c r="A76" s="51"/>
      <c r="B76" s="43"/>
      <c r="C76" s="37"/>
      <c r="D76" s="37"/>
      <c r="E76" s="38"/>
      <c r="F76" s="40"/>
      <c r="G76" s="55"/>
      <c r="H76" s="40"/>
      <c r="I76" s="55"/>
      <c r="J76" s="40"/>
      <c r="K76" s="44"/>
      <c r="L76" s="45"/>
      <c r="N76" s="62"/>
    </row>
    <row r="77">
      <c r="A77" s="86" t="s">
        <v>142</v>
      </c>
      <c r="B77" s="87"/>
      <c r="C77" s="87"/>
      <c r="D77" s="87"/>
      <c r="E77" s="87"/>
      <c r="F77" s="87"/>
      <c r="G77" s="87"/>
      <c r="H77" s="87"/>
      <c r="I77" s="87"/>
      <c r="J77" s="88"/>
      <c r="K77" s="88"/>
      <c r="L77" s="89"/>
      <c r="M77" s="70"/>
      <c r="N77" s="90"/>
      <c r="O77" s="70"/>
      <c r="P77" s="70"/>
      <c r="Q77" s="70"/>
      <c r="R77" s="70"/>
      <c r="S77" s="70"/>
      <c r="T77" s="70"/>
      <c r="U77" s="70"/>
      <c r="V77" s="70"/>
    </row>
    <row r="78" ht="27.0" customHeight="1">
      <c r="A78" s="91"/>
      <c r="B78" s="92" t="s">
        <v>142</v>
      </c>
      <c r="C78" s="93" t="s">
        <v>23</v>
      </c>
      <c r="D78" s="93">
        <f>+D73</f>
        <v>4</v>
      </c>
      <c r="E78" s="93" t="s">
        <v>9</v>
      </c>
      <c r="F78" s="94"/>
      <c r="G78" s="93" t="s">
        <v>10</v>
      </c>
      <c r="H78" s="94"/>
      <c r="I78" s="93" t="s">
        <v>11</v>
      </c>
      <c r="J78" s="94"/>
      <c r="K78" s="95" t="s">
        <v>6</v>
      </c>
      <c r="L78" s="96" t="s">
        <v>7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</row>
    <row r="79">
      <c r="A79" s="51" t="s">
        <v>143</v>
      </c>
      <c r="B79" s="43" t="s">
        <v>144</v>
      </c>
      <c r="C79" s="37" t="s">
        <v>14</v>
      </c>
      <c r="D79" s="37">
        <v>10.0</v>
      </c>
      <c r="E79" s="38" t="s">
        <v>145</v>
      </c>
      <c r="F79" s="40"/>
      <c r="G79" s="55" t="s">
        <v>146</v>
      </c>
      <c r="H79" s="40"/>
      <c r="I79" s="55" t="s">
        <v>147</v>
      </c>
      <c r="J79" s="40"/>
      <c r="K79" s="44">
        <f t="shared" ref="K79:K83" si="14">L79/1.18</f>
        <v>22881.35593</v>
      </c>
      <c r="L79" s="61">
        <v>27000.0</v>
      </c>
    </row>
    <row r="80">
      <c r="A80" s="51" t="s">
        <v>148</v>
      </c>
      <c r="B80" s="43" t="s">
        <v>149</v>
      </c>
      <c r="C80" s="37" t="s">
        <v>14</v>
      </c>
      <c r="D80" s="37">
        <v>10.0</v>
      </c>
      <c r="E80" s="38" t="s">
        <v>145</v>
      </c>
      <c r="F80" s="40"/>
      <c r="G80" s="55" t="s">
        <v>146</v>
      </c>
      <c r="H80" s="40"/>
      <c r="I80" s="55" t="s">
        <v>147</v>
      </c>
      <c r="J80" s="40"/>
      <c r="K80" s="44">
        <f t="shared" si="14"/>
        <v>34745.76271</v>
      </c>
      <c r="L80" s="61">
        <v>41000.0</v>
      </c>
      <c r="N80" s="62"/>
    </row>
    <row r="81">
      <c r="A81" s="51" t="s">
        <v>150</v>
      </c>
      <c r="B81" s="43" t="s">
        <v>151</v>
      </c>
      <c r="C81" s="37" t="s">
        <v>14</v>
      </c>
      <c r="D81" s="37">
        <v>10.0</v>
      </c>
      <c r="E81" s="38" t="s">
        <v>145</v>
      </c>
      <c r="F81" s="40"/>
      <c r="G81" s="55" t="s">
        <v>146</v>
      </c>
      <c r="H81" s="40"/>
      <c r="I81" s="55" t="s">
        <v>147</v>
      </c>
      <c r="J81" s="40"/>
      <c r="K81" s="44">
        <f t="shared" si="14"/>
        <v>56779.66102</v>
      </c>
      <c r="L81" s="45">
        <v>67000.0</v>
      </c>
      <c r="N81" s="62"/>
    </row>
    <row r="82">
      <c r="A82" s="51" t="s">
        <v>152</v>
      </c>
      <c r="B82" s="43" t="s">
        <v>153</v>
      </c>
      <c r="C82" s="37" t="s">
        <v>14</v>
      </c>
      <c r="D82" s="37">
        <v>10.0</v>
      </c>
      <c r="E82" s="38" t="s">
        <v>145</v>
      </c>
      <c r="F82" s="40"/>
      <c r="G82" s="55" t="s">
        <v>146</v>
      </c>
      <c r="H82" s="40"/>
      <c r="I82" s="55" t="s">
        <v>147</v>
      </c>
      <c r="J82" s="40"/>
      <c r="K82" s="44">
        <f t="shared" si="14"/>
        <v>22033.89831</v>
      </c>
      <c r="L82" s="45">
        <v>26000.0</v>
      </c>
      <c r="N82" s="62"/>
    </row>
    <row r="83">
      <c r="A83" s="51" t="s">
        <v>154</v>
      </c>
      <c r="B83" s="43" t="s">
        <v>155</v>
      </c>
      <c r="C83" s="37" t="s">
        <v>14</v>
      </c>
      <c r="D83" s="37">
        <v>10.0</v>
      </c>
      <c r="E83" s="38" t="s">
        <v>145</v>
      </c>
      <c r="F83" s="40"/>
      <c r="G83" s="55" t="s">
        <v>146</v>
      </c>
      <c r="H83" s="40"/>
      <c r="I83" s="55" t="s">
        <v>147</v>
      </c>
      <c r="J83" s="40"/>
      <c r="K83" s="44">
        <f t="shared" si="14"/>
        <v>35593.22034</v>
      </c>
      <c r="L83" s="45">
        <v>42000.0</v>
      </c>
      <c r="N83" s="62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</row>
    <row r="85">
      <c r="A85" s="86" t="s">
        <v>156</v>
      </c>
      <c r="B85" s="87"/>
      <c r="C85" s="87"/>
      <c r="D85" s="87"/>
      <c r="E85" s="87"/>
      <c r="F85" s="87"/>
      <c r="G85" s="87"/>
      <c r="H85" s="87"/>
      <c r="I85" s="87"/>
      <c r="J85" s="88"/>
      <c r="K85" s="88"/>
      <c r="L85" s="98"/>
      <c r="M85" s="70"/>
      <c r="N85" s="70"/>
      <c r="O85" s="70"/>
      <c r="P85" s="70"/>
      <c r="Q85" s="70"/>
      <c r="R85" s="70"/>
      <c r="S85" s="70"/>
      <c r="T85" s="70"/>
      <c r="U85" s="70"/>
      <c r="V85" s="70"/>
    </row>
    <row r="86">
      <c r="A86" s="91"/>
      <c r="B86" s="99" t="s">
        <v>157</v>
      </c>
      <c r="C86" s="100" t="s">
        <v>23</v>
      </c>
      <c r="D86" s="100">
        <f>+D78</f>
        <v>4</v>
      </c>
      <c r="E86" s="100" t="s">
        <v>9</v>
      </c>
      <c r="F86" s="101"/>
      <c r="G86" s="100" t="s">
        <v>10</v>
      </c>
      <c r="H86" s="101"/>
      <c r="I86" s="100" t="s">
        <v>11</v>
      </c>
      <c r="J86" s="101"/>
      <c r="K86" s="102" t="s">
        <v>6</v>
      </c>
      <c r="L86" s="103" t="s">
        <v>7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</row>
    <row r="88">
      <c r="A88" s="51" t="s">
        <v>158</v>
      </c>
      <c r="B88" s="43" t="s">
        <v>159</v>
      </c>
      <c r="C88" s="104" t="s">
        <v>160</v>
      </c>
      <c r="D88" s="37"/>
      <c r="E88" s="38" t="s">
        <v>161</v>
      </c>
      <c r="F88" s="40"/>
      <c r="G88" s="55" t="s">
        <v>162</v>
      </c>
      <c r="H88" s="40"/>
      <c r="I88" s="55" t="s">
        <v>163</v>
      </c>
      <c r="J88" s="40"/>
      <c r="K88" s="44">
        <v>18644.0</v>
      </c>
      <c r="L88" s="61">
        <v>22000.0</v>
      </c>
      <c r="N88" s="62"/>
    </row>
    <row r="89">
      <c r="A89" s="51"/>
      <c r="B89" s="43"/>
      <c r="C89" s="37"/>
      <c r="D89" s="37"/>
      <c r="E89" s="38"/>
      <c r="F89" s="40"/>
      <c r="G89" s="55"/>
      <c r="H89" s="40"/>
      <c r="I89" s="55"/>
      <c r="J89" s="40"/>
      <c r="K89" s="44"/>
      <c r="L89" s="45"/>
      <c r="N89" s="62"/>
    </row>
    <row r="90">
      <c r="A90" s="51" t="s">
        <v>164</v>
      </c>
      <c r="B90" s="43" t="s">
        <v>165</v>
      </c>
      <c r="C90" s="104" t="s">
        <v>160</v>
      </c>
      <c r="D90" s="37"/>
      <c r="E90" s="38" t="s">
        <v>161</v>
      </c>
      <c r="F90" s="40"/>
      <c r="G90" s="55" t="s">
        <v>162</v>
      </c>
      <c r="H90" s="40"/>
      <c r="I90" s="55" t="s">
        <v>163</v>
      </c>
      <c r="J90" s="40"/>
      <c r="K90" s="44">
        <v>18644.0</v>
      </c>
      <c r="L90" s="45">
        <v>22000.0</v>
      </c>
      <c r="N90" s="62"/>
    </row>
    <row r="91">
      <c r="A91" s="51"/>
      <c r="B91" s="43"/>
      <c r="C91" s="37"/>
      <c r="D91" s="37"/>
      <c r="E91" s="38"/>
      <c r="F91" s="40"/>
      <c r="G91" s="55"/>
      <c r="H91" s="40"/>
      <c r="I91" s="55"/>
      <c r="J91" s="40"/>
      <c r="K91" s="44"/>
      <c r="L91" s="45"/>
      <c r="N91" s="62"/>
    </row>
    <row r="92">
      <c r="A92" s="51" t="s">
        <v>166</v>
      </c>
      <c r="B92" s="43" t="s">
        <v>167</v>
      </c>
      <c r="C92" s="104" t="s">
        <v>160</v>
      </c>
      <c r="D92" s="37"/>
      <c r="E92" s="38" t="s">
        <v>161</v>
      </c>
      <c r="F92" s="40"/>
      <c r="G92" s="55" t="s">
        <v>162</v>
      </c>
      <c r="H92" s="40"/>
      <c r="I92" s="55" t="s">
        <v>163</v>
      </c>
      <c r="J92" s="40"/>
      <c r="K92" s="44">
        <v>22797.0</v>
      </c>
      <c r="L92" s="61">
        <v>26900.0</v>
      </c>
      <c r="N92" s="62"/>
    </row>
    <row r="93">
      <c r="A93" s="51"/>
      <c r="B93" s="43"/>
      <c r="C93" s="37"/>
      <c r="D93" s="37"/>
      <c r="E93" s="38"/>
      <c r="F93" s="40"/>
      <c r="G93" s="55"/>
      <c r="H93" s="40"/>
      <c r="I93" s="55"/>
      <c r="J93" s="40"/>
      <c r="K93" s="44"/>
      <c r="L93" s="45"/>
      <c r="N93" s="62"/>
    </row>
    <row r="94">
      <c r="A94" s="51" t="s">
        <v>168</v>
      </c>
      <c r="B94" s="43" t="s">
        <v>169</v>
      </c>
      <c r="C94" s="104" t="s">
        <v>160</v>
      </c>
      <c r="D94" s="37"/>
      <c r="E94" s="38" t="s">
        <v>161</v>
      </c>
      <c r="F94" s="40"/>
      <c r="G94" s="55" t="s">
        <v>162</v>
      </c>
      <c r="H94" s="40"/>
      <c r="I94" s="55" t="s">
        <v>163</v>
      </c>
      <c r="J94" s="40"/>
      <c r="K94" s="44">
        <v>24407.0</v>
      </c>
      <c r="L94" s="45">
        <v>28800.0</v>
      </c>
      <c r="N94" s="62"/>
    </row>
    <row r="95">
      <c r="A95" s="51"/>
      <c r="B95" s="43"/>
      <c r="C95" s="37"/>
      <c r="D95" s="37"/>
      <c r="E95" s="38"/>
      <c r="F95" s="40"/>
      <c r="G95" s="55"/>
      <c r="H95" s="40"/>
      <c r="I95" s="55"/>
      <c r="J95" s="40"/>
      <c r="K95" s="44"/>
      <c r="L95" s="45"/>
      <c r="N95" s="62"/>
    </row>
    <row r="96">
      <c r="A96" s="51" t="s">
        <v>170</v>
      </c>
      <c r="B96" s="43" t="s">
        <v>171</v>
      </c>
      <c r="C96" s="104" t="s">
        <v>160</v>
      </c>
      <c r="D96" s="37"/>
      <c r="E96" s="38" t="s">
        <v>161</v>
      </c>
      <c r="F96" s="40"/>
      <c r="G96" s="55" t="s">
        <v>162</v>
      </c>
      <c r="H96" s="40"/>
      <c r="I96" s="55" t="s">
        <v>163</v>
      </c>
      <c r="J96" s="40"/>
      <c r="K96" s="44">
        <v>18644.0</v>
      </c>
      <c r="L96" s="61">
        <v>22000.0</v>
      </c>
      <c r="N96" s="62"/>
    </row>
    <row r="97">
      <c r="A97" s="51"/>
      <c r="B97" s="43"/>
      <c r="C97" s="37"/>
      <c r="D97" s="37"/>
      <c r="E97" s="38"/>
      <c r="F97" s="40"/>
      <c r="G97" s="55"/>
      <c r="H97" s="40"/>
      <c r="I97" s="55"/>
      <c r="J97" s="40"/>
      <c r="K97" s="44"/>
      <c r="L97" s="45"/>
      <c r="N97" s="62"/>
    </row>
    <row r="98">
      <c r="A98" s="51" t="s">
        <v>172</v>
      </c>
      <c r="B98" s="43" t="s">
        <v>173</v>
      </c>
      <c r="C98" s="37" t="s">
        <v>174</v>
      </c>
      <c r="D98" s="37">
        <v>10.0</v>
      </c>
      <c r="E98" s="38">
        <v>5.0</v>
      </c>
      <c r="F98" s="40" t="s">
        <v>15</v>
      </c>
      <c r="G98" s="55">
        <v>10.0</v>
      </c>
      <c r="H98" s="40" t="s">
        <v>15</v>
      </c>
      <c r="I98" s="55">
        <v>20.0</v>
      </c>
      <c r="J98" s="40" t="s">
        <v>15</v>
      </c>
      <c r="K98" s="44">
        <v>22881.0</v>
      </c>
      <c r="L98" s="45">
        <v>27000.0</v>
      </c>
      <c r="N98" s="62"/>
    </row>
    <row r="99">
      <c r="A99" s="51"/>
      <c r="B99" s="43"/>
      <c r="C99" s="37"/>
      <c r="D99" s="37"/>
      <c r="E99" s="38"/>
      <c r="F99" s="40"/>
      <c r="G99" s="55"/>
      <c r="H99" s="40"/>
      <c r="I99" s="55"/>
      <c r="J99" s="40"/>
      <c r="K99" s="44"/>
      <c r="L99" s="45"/>
      <c r="N99" s="62"/>
    </row>
    <row r="100">
      <c r="A100" s="51" t="s">
        <v>175</v>
      </c>
      <c r="B100" s="43" t="s">
        <v>176</v>
      </c>
      <c r="C100" s="104" t="s">
        <v>160</v>
      </c>
      <c r="D100" s="37"/>
      <c r="E100" s="38" t="s">
        <v>161</v>
      </c>
      <c r="F100" s="40"/>
      <c r="G100" s="55" t="s">
        <v>162</v>
      </c>
      <c r="H100" s="40"/>
      <c r="I100" s="55" t="s">
        <v>163</v>
      </c>
      <c r="J100" s="40"/>
      <c r="K100" s="44">
        <v>33898.0</v>
      </c>
      <c r="L100" s="61">
        <v>40000.0</v>
      </c>
      <c r="N100" s="62"/>
    </row>
    <row r="101">
      <c r="A101" s="51"/>
      <c r="B101" s="43"/>
      <c r="C101" s="37"/>
      <c r="D101" s="37"/>
      <c r="E101" s="38"/>
      <c r="F101" s="40"/>
      <c r="G101" s="55"/>
      <c r="H101" s="40"/>
      <c r="I101" s="55"/>
      <c r="J101" s="40"/>
      <c r="K101" s="44"/>
      <c r="L101" s="45"/>
      <c r="N101" s="62"/>
    </row>
    <row r="102">
      <c r="A102" s="51" t="s">
        <v>177</v>
      </c>
      <c r="B102" s="43" t="s">
        <v>178</v>
      </c>
      <c r="C102" s="104" t="s">
        <v>179</v>
      </c>
      <c r="D102" s="37"/>
      <c r="E102" s="38" t="s">
        <v>161</v>
      </c>
      <c r="F102" s="40"/>
      <c r="G102" s="55" t="s">
        <v>162</v>
      </c>
      <c r="H102" s="40"/>
      <c r="I102" s="55" t="s">
        <v>163</v>
      </c>
      <c r="J102" s="40"/>
      <c r="K102" s="44">
        <v>29915.0</v>
      </c>
      <c r="L102" s="45">
        <v>35300.0</v>
      </c>
      <c r="N102" s="62"/>
    </row>
    <row r="103">
      <c r="A103" s="51"/>
      <c r="B103" s="43"/>
      <c r="C103" s="37"/>
      <c r="D103" s="37"/>
      <c r="E103" s="38"/>
      <c r="F103" s="40"/>
      <c r="G103" s="55"/>
      <c r="H103" s="40"/>
      <c r="I103" s="55"/>
      <c r="J103" s="40"/>
      <c r="K103" s="44"/>
      <c r="L103" s="45"/>
      <c r="N103" s="62"/>
    </row>
    <row r="104">
      <c r="A104" s="51" t="s">
        <v>180</v>
      </c>
      <c r="B104" s="43" t="s">
        <v>181</v>
      </c>
      <c r="C104" s="104" t="s">
        <v>179</v>
      </c>
      <c r="D104" s="37"/>
      <c r="E104" s="38" t="s">
        <v>182</v>
      </c>
      <c r="F104" s="40"/>
      <c r="G104" s="55" t="s">
        <v>161</v>
      </c>
      <c r="H104" s="40"/>
      <c r="I104" s="55" t="s">
        <v>162</v>
      </c>
      <c r="J104" s="40"/>
      <c r="K104" s="44">
        <v>35593.0</v>
      </c>
      <c r="L104" s="61">
        <v>42000.0</v>
      </c>
      <c r="N104" s="62"/>
    </row>
    <row r="105">
      <c r="A105" s="51"/>
      <c r="B105" s="43"/>
      <c r="C105" s="37"/>
      <c r="D105" s="37"/>
      <c r="E105" s="38"/>
      <c r="F105" s="40"/>
      <c r="G105" s="55"/>
      <c r="H105" s="40"/>
      <c r="I105" s="55"/>
      <c r="J105" s="40"/>
      <c r="K105" s="44"/>
      <c r="L105" s="45"/>
      <c r="N105" s="62"/>
    </row>
    <row r="106">
      <c r="A106" s="51" t="s">
        <v>183</v>
      </c>
      <c r="B106" s="43" t="s">
        <v>184</v>
      </c>
      <c r="C106" s="104" t="s">
        <v>160</v>
      </c>
      <c r="D106" s="37"/>
      <c r="E106" s="38" t="s">
        <v>161</v>
      </c>
      <c r="F106" s="40"/>
      <c r="G106" s="55" t="s">
        <v>162</v>
      </c>
      <c r="H106" s="40"/>
      <c r="I106" s="55" t="s">
        <v>163</v>
      </c>
      <c r="J106" s="40"/>
      <c r="K106" s="44">
        <v>33893.0</v>
      </c>
      <c r="L106" s="45">
        <v>39994.0</v>
      </c>
      <c r="N106" s="62"/>
    </row>
    <row r="107">
      <c r="A107" s="51"/>
      <c r="B107" s="43"/>
      <c r="C107" s="37"/>
      <c r="D107" s="37"/>
      <c r="E107" s="38"/>
      <c r="F107" s="40"/>
      <c r="G107" s="55"/>
      <c r="H107" s="40"/>
      <c r="I107" s="55"/>
      <c r="J107" s="40"/>
      <c r="K107" s="44"/>
      <c r="L107" s="45"/>
      <c r="N107" s="62"/>
    </row>
    <row r="108">
      <c r="A108" s="51" t="s">
        <v>185</v>
      </c>
      <c r="B108" s="43" t="s">
        <v>186</v>
      </c>
      <c r="C108" s="104" t="s">
        <v>160</v>
      </c>
      <c r="D108" s="37"/>
      <c r="E108" s="38" t="s">
        <v>161</v>
      </c>
      <c r="F108" s="40"/>
      <c r="G108" s="55" t="s">
        <v>162</v>
      </c>
      <c r="H108" s="40"/>
      <c r="I108" s="55" t="s">
        <v>163</v>
      </c>
      <c r="J108" s="40"/>
      <c r="K108" s="44">
        <v>33894.0</v>
      </c>
      <c r="L108" s="61">
        <v>39995.0</v>
      </c>
      <c r="N108" s="62"/>
    </row>
    <row r="109">
      <c r="A109" s="51"/>
      <c r="B109" s="43"/>
      <c r="C109" s="37"/>
      <c r="D109" s="37"/>
      <c r="E109" s="38"/>
      <c r="F109" s="40"/>
      <c r="G109" s="55"/>
      <c r="H109" s="40"/>
      <c r="I109" s="55"/>
      <c r="J109" s="40"/>
      <c r="K109" s="44"/>
      <c r="L109" s="45"/>
      <c r="N109" s="62"/>
    </row>
    <row r="110">
      <c r="A110" s="51" t="s">
        <v>154</v>
      </c>
      <c r="B110" s="43" t="s">
        <v>187</v>
      </c>
      <c r="C110" s="37" t="s">
        <v>14</v>
      </c>
      <c r="D110" s="37"/>
      <c r="E110" s="38" t="s">
        <v>161</v>
      </c>
      <c r="F110" s="40"/>
      <c r="G110" s="55" t="s">
        <v>162</v>
      </c>
      <c r="H110" s="40"/>
      <c r="I110" s="55" t="s">
        <v>163</v>
      </c>
      <c r="J110" s="40"/>
      <c r="K110" s="44">
        <v>33894.0</v>
      </c>
      <c r="L110" s="45">
        <v>39995.0</v>
      </c>
      <c r="N110" s="62"/>
    </row>
    <row r="111">
      <c r="A111" s="51"/>
      <c r="B111" s="43"/>
      <c r="C111" s="37"/>
      <c r="D111" s="37"/>
      <c r="E111" s="38"/>
      <c r="F111" s="40"/>
      <c r="G111" s="55"/>
      <c r="H111" s="40"/>
      <c r="I111" s="55"/>
      <c r="J111" s="40"/>
      <c r="K111" s="44"/>
      <c r="L111" s="61"/>
      <c r="N111" s="62"/>
    </row>
    <row r="112">
      <c r="A112" s="51" t="s">
        <v>188</v>
      </c>
      <c r="B112" s="43" t="s">
        <v>189</v>
      </c>
      <c r="C112" s="37" t="s">
        <v>14</v>
      </c>
      <c r="D112" s="37">
        <v>10.0</v>
      </c>
      <c r="E112" s="38">
        <v>5.0</v>
      </c>
      <c r="F112" s="40" t="s">
        <v>15</v>
      </c>
      <c r="G112" s="55">
        <v>10.0</v>
      </c>
      <c r="H112" s="40" t="s">
        <v>15</v>
      </c>
      <c r="I112" s="55">
        <v>20.0</v>
      </c>
      <c r="J112" s="40" t="s">
        <v>15</v>
      </c>
      <c r="K112" s="44">
        <v>39153.0</v>
      </c>
      <c r="L112" s="45">
        <v>46200.0</v>
      </c>
      <c r="N112" s="62"/>
    </row>
    <row r="113">
      <c r="A113" s="51"/>
      <c r="B113" s="43"/>
      <c r="C113" s="37"/>
      <c r="D113" s="37"/>
      <c r="E113" s="38"/>
      <c r="F113" s="40"/>
      <c r="G113" s="55"/>
      <c r="H113" s="40"/>
      <c r="I113" s="55"/>
      <c r="J113" s="40"/>
      <c r="K113" s="44"/>
      <c r="L113" s="45"/>
      <c r="N113" s="62"/>
    </row>
    <row r="114">
      <c r="A114" s="51"/>
      <c r="B114" s="43"/>
      <c r="C114" s="37"/>
      <c r="D114" s="37"/>
      <c r="E114" s="38"/>
      <c r="F114" s="40"/>
      <c r="G114" s="55"/>
      <c r="H114" s="40"/>
      <c r="I114" s="55"/>
      <c r="J114" s="40"/>
      <c r="K114" s="44"/>
      <c r="L114" s="45"/>
      <c r="N114" s="62"/>
    </row>
  </sheetData>
  <mergeCells count="11">
    <mergeCell ref="I9:J9"/>
    <mergeCell ref="A51:L51"/>
    <mergeCell ref="A77:I77"/>
    <mergeCell ref="A85:I85"/>
    <mergeCell ref="A1:A2"/>
    <mergeCell ref="B1:L6"/>
    <mergeCell ref="A3:A4"/>
    <mergeCell ref="A5:A6"/>
    <mergeCell ref="E8:I8"/>
    <mergeCell ref="E9:F9"/>
    <mergeCell ref="G9:H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3.13"/>
    <col customWidth="1" min="3" max="3" width="10.0"/>
    <col customWidth="1" min="4" max="4" width="10.5"/>
  </cols>
  <sheetData>
    <row r="1">
      <c r="A1" s="1"/>
      <c r="B1" s="2" t="s">
        <v>190</v>
      </c>
      <c r="C1" s="3"/>
      <c r="D1" s="4"/>
    </row>
    <row r="2">
      <c r="A2" s="5"/>
      <c r="B2" s="6"/>
      <c r="D2" s="7"/>
    </row>
    <row r="3">
      <c r="A3" s="1"/>
      <c r="B3" s="6"/>
      <c r="D3" s="7"/>
    </row>
    <row r="4">
      <c r="A4" s="5"/>
      <c r="B4" s="6"/>
      <c r="D4" s="7"/>
    </row>
    <row r="5">
      <c r="A5" s="1"/>
      <c r="B5" s="6"/>
      <c r="D5" s="7"/>
    </row>
    <row r="6">
      <c r="A6" s="5"/>
      <c r="B6" s="8"/>
      <c r="C6" s="9"/>
      <c r="D6" s="10"/>
    </row>
    <row r="7">
      <c r="A7" s="105" t="s">
        <v>191</v>
      </c>
      <c r="B7" s="87"/>
      <c r="C7" s="87"/>
      <c r="D7" s="106"/>
    </row>
    <row r="8">
      <c r="A8" s="107"/>
      <c r="B8" s="108" t="s">
        <v>2</v>
      </c>
      <c r="C8" s="109" t="s">
        <v>6</v>
      </c>
      <c r="D8" s="109" t="s">
        <v>7</v>
      </c>
    </row>
    <row r="9">
      <c r="A9" s="51" t="s">
        <v>192</v>
      </c>
      <c r="B9" s="110" t="s">
        <v>8</v>
      </c>
      <c r="C9" s="25"/>
      <c r="D9" s="28"/>
    </row>
    <row r="10">
      <c r="A10" s="69"/>
      <c r="B10" s="30"/>
      <c r="C10" s="32"/>
      <c r="D10" s="33"/>
    </row>
    <row r="11">
      <c r="A11" s="51" t="s">
        <v>193</v>
      </c>
      <c r="B11" s="40" t="s">
        <v>194</v>
      </c>
      <c r="C11" s="41">
        <v>25000.0</v>
      </c>
      <c r="D11" s="33"/>
    </row>
    <row r="12">
      <c r="A12" s="51" t="s">
        <v>195</v>
      </c>
      <c r="B12" s="39" t="s">
        <v>196</v>
      </c>
      <c r="C12" s="44">
        <v>16000.0</v>
      </c>
      <c r="D12" s="45"/>
    </row>
    <row r="13">
      <c r="A13" s="67" t="s">
        <v>197</v>
      </c>
      <c r="B13" s="35" t="s">
        <v>198</v>
      </c>
      <c r="C13" s="44">
        <v>25000.0</v>
      </c>
      <c r="D13" s="45"/>
    </row>
    <row r="14">
      <c r="A14" s="67" t="s">
        <v>18</v>
      </c>
      <c r="B14" s="43" t="s">
        <v>199</v>
      </c>
      <c r="C14" s="44">
        <v>20000.0</v>
      </c>
      <c r="D14" s="45"/>
    </row>
    <row r="15">
      <c r="A15" s="69"/>
      <c r="B15" s="111"/>
      <c r="C15" s="112"/>
      <c r="D15" s="113"/>
    </row>
    <row r="16">
      <c r="A16" s="69"/>
      <c r="B16" s="110" t="s">
        <v>200</v>
      </c>
      <c r="C16" s="114"/>
      <c r="D16" s="115"/>
    </row>
    <row r="17">
      <c r="A17" s="69"/>
      <c r="B17" s="30"/>
      <c r="C17" s="32"/>
      <c r="D17" s="33"/>
    </row>
    <row r="18">
      <c r="A18" s="51" t="s">
        <v>201</v>
      </c>
      <c r="B18" s="39" t="s">
        <v>202</v>
      </c>
      <c r="C18" s="44">
        <v>25000.0</v>
      </c>
      <c r="D18" s="45"/>
    </row>
    <row r="19">
      <c r="A19" s="51" t="s">
        <v>203</v>
      </c>
      <c r="B19" s="43" t="s">
        <v>204</v>
      </c>
      <c r="C19" s="44">
        <v>15500.0</v>
      </c>
      <c r="D19" s="45"/>
    </row>
    <row r="20">
      <c r="A20" s="51" t="s">
        <v>205</v>
      </c>
      <c r="B20" s="43" t="s">
        <v>206</v>
      </c>
      <c r="C20" s="44">
        <v>18000.0</v>
      </c>
      <c r="D20" s="45"/>
    </row>
    <row r="21">
      <c r="A21" s="51" t="s">
        <v>207</v>
      </c>
      <c r="B21" s="39" t="s">
        <v>208</v>
      </c>
      <c r="C21" s="44">
        <v>18000.0</v>
      </c>
      <c r="D21" s="45"/>
    </row>
    <row r="22">
      <c r="A22" s="51" t="s">
        <v>209</v>
      </c>
      <c r="B22" s="39" t="s">
        <v>210</v>
      </c>
      <c r="C22" s="44">
        <v>21000.0</v>
      </c>
      <c r="D22" s="45"/>
    </row>
    <row r="23">
      <c r="A23" s="67" t="s">
        <v>211</v>
      </c>
      <c r="B23" s="43" t="s">
        <v>212</v>
      </c>
      <c r="C23" s="44">
        <v>15000.0</v>
      </c>
      <c r="D23" s="45"/>
    </row>
    <row r="24">
      <c r="A24" s="67" t="s">
        <v>213</v>
      </c>
      <c r="B24" s="43" t="s">
        <v>214</v>
      </c>
      <c r="C24" s="44">
        <v>21500.0</v>
      </c>
      <c r="D24" s="45"/>
    </row>
    <row r="25">
      <c r="A25" s="67" t="s">
        <v>215</v>
      </c>
      <c r="B25" s="43" t="s">
        <v>216</v>
      </c>
      <c r="C25" s="44">
        <v>23000.0</v>
      </c>
      <c r="D25" s="45"/>
    </row>
    <row r="26">
      <c r="A26" s="67" t="s">
        <v>217</v>
      </c>
      <c r="B26" s="43" t="s">
        <v>218</v>
      </c>
      <c r="C26" s="44">
        <v>15500.0</v>
      </c>
      <c r="D26" s="45"/>
    </row>
    <row r="27">
      <c r="A27" s="67" t="s">
        <v>219</v>
      </c>
      <c r="B27" s="43" t="s">
        <v>220</v>
      </c>
      <c r="C27" s="44">
        <v>20000.0</v>
      </c>
      <c r="D27" s="45"/>
    </row>
    <row r="28">
      <c r="A28" s="51" t="s">
        <v>221</v>
      </c>
      <c r="B28" s="43" t="s">
        <v>222</v>
      </c>
      <c r="C28" s="44">
        <v>30000.0</v>
      </c>
      <c r="D28" s="45"/>
    </row>
    <row r="29">
      <c r="A29" s="51" t="s">
        <v>223</v>
      </c>
      <c r="B29" s="43" t="s">
        <v>224</v>
      </c>
      <c r="C29" s="44">
        <v>25000.0</v>
      </c>
      <c r="D29" s="45"/>
    </row>
    <row r="30">
      <c r="A30" s="51" t="s">
        <v>225</v>
      </c>
      <c r="B30" s="43" t="s">
        <v>226</v>
      </c>
      <c r="C30" s="44">
        <v>13500.0</v>
      </c>
      <c r="D30" s="45"/>
    </row>
    <row r="31">
      <c r="A31" s="51" t="s">
        <v>227</v>
      </c>
      <c r="B31" s="43" t="s">
        <v>228</v>
      </c>
      <c r="C31" s="44">
        <v>13500.0</v>
      </c>
      <c r="D31" s="45"/>
    </row>
    <row r="32">
      <c r="A32" s="51" t="s">
        <v>229</v>
      </c>
      <c r="B32" s="43" t="s">
        <v>230</v>
      </c>
      <c r="C32" s="44">
        <v>25000.0</v>
      </c>
      <c r="D32" s="45"/>
    </row>
    <row r="33">
      <c r="A33" s="67" t="s">
        <v>231</v>
      </c>
      <c r="B33" s="43" t="s">
        <v>232</v>
      </c>
      <c r="C33" s="116">
        <v>18000.0</v>
      </c>
      <c r="D33" s="33"/>
    </row>
    <row r="34">
      <c r="A34" s="67" t="s">
        <v>233</v>
      </c>
      <c r="B34" s="43" t="s">
        <v>234</v>
      </c>
      <c r="C34" s="116">
        <v>16000.0</v>
      </c>
      <c r="D34" s="33"/>
    </row>
    <row r="35">
      <c r="A35" s="91"/>
      <c r="B35" s="30"/>
      <c r="C35" s="32"/>
      <c r="D35" s="33"/>
    </row>
    <row r="36">
      <c r="A36" s="69"/>
      <c r="B36" s="117" t="s">
        <v>34</v>
      </c>
      <c r="C36" s="50" t="s">
        <v>6</v>
      </c>
      <c r="D36" s="50" t="s">
        <v>7</v>
      </c>
    </row>
    <row r="37">
      <c r="A37" s="51" t="s">
        <v>35</v>
      </c>
      <c r="B37" s="40" t="s">
        <v>36</v>
      </c>
      <c r="C37" s="65">
        <v>21500.0</v>
      </c>
      <c r="D37" s="60"/>
    </row>
    <row r="38">
      <c r="A38" s="51" t="s">
        <v>38</v>
      </c>
      <c r="B38" s="39" t="s">
        <v>39</v>
      </c>
      <c r="C38" s="44">
        <v>21500.0</v>
      </c>
      <c r="D38" s="45"/>
    </row>
    <row r="39">
      <c r="A39" s="51" t="s">
        <v>41</v>
      </c>
      <c r="B39" s="39" t="s">
        <v>42</v>
      </c>
      <c r="C39" s="44">
        <v>21500.0</v>
      </c>
      <c r="D39" s="45"/>
    </row>
    <row r="40">
      <c r="A40" s="51" t="s">
        <v>43</v>
      </c>
      <c r="B40" s="39" t="s">
        <v>44</v>
      </c>
      <c r="C40" s="44">
        <v>21500.0</v>
      </c>
      <c r="D40" s="45"/>
    </row>
    <row r="41">
      <c r="A41" s="51" t="s">
        <v>46</v>
      </c>
      <c r="B41" s="39" t="s">
        <v>47</v>
      </c>
      <c r="C41" s="44">
        <v>21500.0</v>
      </c>
      <c r="D41" s="45"/>
    </row>
    <row r="42">
      <c r="A42" s="51" t="s">
        <v>48</v>
      </c>
      <c r="B42" s="39" t="s">
        <v>49</v>
      </c>
      <c r="C42" s="44">
        <v>21500.0</v>
      </c>
      <c r="D42" s="45"/>
    </row>
    <row r="43">
      <c r="A43" s="51" t="s">
        <v>50</v>
      </c>
      <c r="B43" s="39" t="s">
        <v>51</v>
      </c>
      <c r="C43" s="44">
        <v>21500.0</v>
      </c>
      <c r="D43" s="45"/>
    </row>
    <row r="44">
      <c r="A44" s="51" t="s">
        <v>52</v>
      </c>
      <c r="B44" s="43" t="s">
        <v>53</v>
      </c>
      <c r="C44" s="44">
        <v>21500.0</v>
      </c>
      <c r="D44" s="45"/>
    </row>
    <row r="45">
      <c r="A45" s="51" t="s">
        <v>55</v>
      </c>
      <c r="B45" s="39" t="s">
        <v>56</v>
      </c>
      <c r="C45" s="44">
        <v>21500.0</v>
      </c>
      <c r="D45" s="45"/>
    </row>
    <row r="46">
      <c r="A46" s="51" t="s">
        <v>58</v>
      </c>
      <c r="B46" s="39" t="s">
        <v>59</v>
      </c>
      <c r="C46" s="44">
        <v>21500.0</v>
      </c>
      <c r="D46" s="45"/>
    </row>
    <row r="47">
      <c r="A47" s="69"/>
      <c r="B47" s="118"/>
      <c r="C47" s="80"/>
      <c r="D47" s="119"/>
    </row>
    <row r="48">
      <c r="A48" s="69"/>
      <c r="B48" s="46" t="s">
        <v>77</v>
      </c>
      <c r="C48" s="50" t="s">
        <v>6</v>
      </c>
      <c r="D48" s="50" t="s">
        <v>7</v>
      </c>
    </row>
    <row r="49">
      <c r="A49" s="51" t="s">
        <v>78</v>
      </c>
      <c r="B49" s="63" t="s">
        <v>79</v>
      </c>
      <c r="C49" s="65">
        <v>25000.0</v>
      </c>
      <c r="D49" s="66"/>
    </row>
    <row r="50">
      <c r="A50" s="51" t="s">
        <v>81</v>
      </c>
      <c r="B50" s="52" t="s">
        <v>82</v>
      </c>
      <c r="C50" s="44">
        <v>23000.0</v>
      </c>
      <c r="D50" s="56"/>
    </row>
    <row r="51">
      <c r="A51" s="67" t="s">
        <v>83</v>
      </c>
      <c r="B51" s="68" t="s">
        <v>84</v>
      </c>
      <c r="C51" s="44">
        <v>20000.0</v>
      </c>
      <c r="D51" s="56"/>
    </row>
    <row r="52">
      <c r="A52" s="69"/>
      <c r="B52" s="70"/>
      <c r="C52" s="73"/>
      <c r="D52" s="74"/>
    </row>
    <row r="53">
      <c r="A53" s="69"/>
      <c r="B53" s="46" t="s">
        <v>85</v>
      </c>
      <c r="C53" s="50" t="s">
        <v>6</v>
      </c>
      <c r="D53" s="50" t="s">
        <v>7</v>
      </c>
    </row>
    <row r="54">
      <c r="A54" s="51" t="s">
        <v>86</v>
      </c>
      <c r="B54" s="52" t="s">
        <v>87</v>
      </c>
      <c r="C54" s="65">
        <v>25000.0</v>
      </c>
      <c r="D54" s="45"/>
    </row>
    <row r="55">
      <c r="A55" s="51" t="s">
        <v>88</v>
      </c>
      <c r="B55" s="68" t="s">
        <v>89</v>
      </c>
      <c r="C55" s="44">
        <v>25000.0</v>
      </c>
      <c r="D55" s="45"/>
    </row>
    <row r="56">
      <c r="A56" s="67" t="s">
        <v>90</v>
      </c>
      <c r="B56" s="68" t="s">
        <v>91</v>
      </c>
      <c r="C56" s="44">
        <v>20000.0</v>
      </c>
      <c r="D56" s="45"/>
    </row>
    <row r="57">
      <c r="A57" s="69"/>
      <c r="B57" s="77"/>
      <c r="C57" s="80"/>
      <c r="D57" s="45"/>
    </row>
    <row r="58">
      <c r="A58" s="69"/>
      <c r="B58" s="46" t="s">
        <v>22</v>
      </c>
      <c r="C58" s="50" t="s">
        <v>6</v>
      </c>
      <c r="D58" s="50" t="s">
        <v>7</v>
      </c>
    </row>
    <row r="59">
      <c r="A59" s="51" t="s">
        <v>235</v>
      </c>
      <c r="B59" s="68" t="s">
        <v>236</v>
      </c>
      <c r="C59" s="120">
        <f>+D59/1.18</f>
        <v>11440.67797</v>
      </c>
      <c r="D59" s="54">
        <v>13500.0</v>
      </c>
    </row>
    <row r="60">
      <c r="A60" s="51"/>
      <c r="B60" s="52"/>
      <c r="C60" s="53"/>
      <c r="D60" s="121"/>
    </row>
    <row r="61">
      <c r="A61" s="51"/>
      <c r="B61" s="52"/>
      <c r="C61" s="53"/>
      <c r="D61" s="121"/>
    </row>
    <row r="62">
      <c r="A62" s="122" t="s">
        <v>92</v>
      </c>
      <c r="B62" s="123"/>
      <c r="C62" s="124"/>
      <c r="D62" s="125"/>
    </row>
    <row r="63">
      <c r="A63" s="91"/>
      <c r="B63" s="126" t="s">
        <v>237</v>
      </c>
      <c r="C63" s="50" t="s">
        <v>6</v>
      </c>
      <c r="D63" s="50" t="s">
        <v>7</v>
      </c>
    </row>
    <row r="64">
      <c r="A64" s="51" t="s">
        <v>94</v>
      </c>
      <c r="B64" s="63" t="s">
        <v>95</v>
      </c>
      <c r="C64" s="127">
        <f t="shared" ref="C64:C71" si="1">+D64/1.18</f>
        <v>12000</v>
      </c>
      <c r="D64" s="128">
        <v>14160.0</v>
      </c>
    </row>
    <row r="65">
      <c r="A65" s="51" t="s">
        <v>97</v>
      </c>
      <c r="B65" s="52" t="s">
        <v>98</v>
      </c>
      <c r="C65" s="53">
        <f t="shared" si="1"/>
        <v>12000</v>
      </c>
      <c r="D65" s="129">
        <v>14160.0</v>
      </c>
    </row>
    <row r="66">
      <c r="A66" s="51" t="s">
        <v>99</v>
      </c>
      <c r="B66" s="52" t="s">
        <v>100</v>
      </c>
      <c r="C66" s="53">
        <f t="shared" si="1"/>
        <v>12000</v>
      </c>
      <c r="D66" s="129">
        <v>14160.0</v>
      </c>
    </row>
    <row r="67">
      <c r="A67" s="51" t="s">
        <v>101</v>
      </c>
      <c r="B67" s="52" t="s">
        <v>102</v>
      </c>
      <c r="C67" s="53">
        <f t="shared" si="1"/>
        <v>13500</v>
      </c>
      <c r="D67" s="129">
        <v>15930.0</v>
      </c>
    </row>
    <row r="68">
      <c r="A68" s="51" t="s">
        <v>103</v>
      </c>
      <c r="B68" s="52" t="s">
        <v>104</v>
      </c>
      <c r="C68" s="53">
        <f t="shared" si="1"/>
        <v>13500</v>
      </c>
      <c r="D68" s="129">
        <v>15930.0</v>
      </c>
    </row>
    <row r="69">
      <c r="A69" s="51" t="s">
        <v>105</v>
      </c>
      <c r="B69" s="52" t="s">
        <v>106</v>
      </c>
      <c r="C69" s="53">
        <f t="shared" si="1"/>
        <v>14500</v>
      </c>
      <c r="D69" s="129">
        <v>17110.0</v>
      </c>
    </row>
    <row r="70">
      <c r="A70" s="51" t="s">
        <v>107</v>
      </c>
      <c r="B70" s="52" t="s">
        <v>108</v>
      </c>
      <c r="C70" s="53">
        <f t="shared" si="1"/>
        <v>13500</v>
      </c>
      <c r="D70" s="129">
        <v>15930.0</v>
      </c>
    </row>
    <row r="71">
      <c r="A71" s="51" t="s">
        <v>109</v>
      </c>
      <c r="B71" s="52" t="s">
        <v>110</v>
      </c>
      <c r="C71" s="53">
        <f t="shared" si="1"/>
        <v>13500</v>
      </c>
      <c r="D71" s="129">
        <v>15930.0</v>
      </c>
    </row>
    <row r="72">
      <c r="A72" s="91"/>
      <c r="B72" s="130" t="s">
        <v>111</v>
      </c>
      <c r="C72" s="109" t="s">
        <v>6</v>
      </c>
      <c r="D72" s="109" t="s">
        <v>7</v>
      </c>
    </row>
    <row r="73">
      <c r="A73" s="51" t="s">
        <v>112</v>
      </c>
      <c r="B73" s="63" t="s">
        <v>113</v>
      </c>
      <c r="C73" s="131">
        <f t="shared" ref="C73:C86" si="2">+D73/1.18</f>
        <v>14406.77966</v>
      </c>
      <c r="D73" s="132">
        <v>17000.0</v>
      </c>
    </row>
    <row r="74">
      <c r="A74" s="51" t="s">
        <v>114</v>
      </c>
      <c r="B74" s="52" t="s">
        <v>115</v>
      </c>
      <c r="C74" s="131">
        <f t="shared" si="2"/>
        <v>14406.77966</v>
      </c>
      <c r="D74" s="129">
        <v>17000.0</v>
      </c>
    </row>
    <row r="75">
      <c r="A75" s="51" t="s">
        <v>116</v>
      </c>
      <c r="B75" s="52" t="s">
        <v>117</v>
      </c>
      <c r="C75" s="131">
        <f t="shared" si="2"/>
        <v>14406.77966</v>
      </c>
      <c r="D75" s="129">
        <v>17000.0</v>
      </c>
    </row>
    <row r="76">
      <c r="A76" s="51" t="s">
        <v>118</v>
      </c>
      <c r="B76" s="52" t="s">
        <v>119</v>
      </c>
      <c r="C76" s="131">
        <f t="shared" si="2"/>
        <v>19491.52542</v>
      </c>
      <c r="D76" s="129">
        <v>23000.0</v>
      </c>
    </row>
    <row r="77">
      <c r="A77" s="51" t="s">
        <v>120</v>
      </c>
      <c r="B77" s="52" t="s">
        <v>121</v>
      </c>
      <c r="C77" s="131">
        <f t="shared" si="2"/>
        <v>19491.52542</v>
      </c>
      <c r="D77" s="129">
        <v>23000.0</v>
      </c>
    </row>
    <row r="78">
      <c r="A78" s="51" t="s">
        <v>122</v>
      </c>
      <c r="B78" s="52" t="s">
        <v>123</v>
      </c>
      <c r="C78" s="131">
        <f t="shared" si="2"/>
        <v>19491.52542</v>
      </c>
      <c r="D78" s="129">
        <v>23000.0</v>
      </c>
    </row>
    <row r="79">
      <c r="A79" s="51" t="s">
        <v>124</v>
      </c>
      <c r="B79" s="68" t="s">
        <v>238</v>
      </c>
      <c r="C79" s="131">
        <f t="shared" si="2"/>
        <v>23728.81356</v>
      </c>
      <c r="D79" s="129">
        <v>28000.0</v>
      </c>
    </row>
    <row r="80">
      <c r="A80" s="51" t="s">
        <v>126</v>
      </c>
      <c r="B80" s="68" t="s">
        <v>239</v>
      </c>
      <c r="C80" s="131">
        <f t="shared" si="2"/>
        <v>15677.9661</v>
      </c>
      <c r="D80" s="129">
        <v>18500.0</v>
      </c>
    </row>
    <row r="81">
      <c r="A81" s="51" t="s">
        <v>128</v>
      </c>
      <c r="B81" s="68" t="s">
        <v>240</v>
      </c>
      <c r="C81" s="131">
        <f t="shared" si="2"/>
        <v>15677.9661</v>
      </c>
      <c r="D81" s="129">
        <v>18500.0</v>
      </c>
    </row>
    <row r="82">
      <c r="A82" s="51" t="s">
        <v>130</v>
      </c>
      <c r="B82" s="52" t="s">
        <v>241</v>
      </c>
      <c r="C82" s="131">
        <f t="shared" si="2"/>
        <v>12500</v>
      </c>
      <c r="D82" s="129">
        <v>14750.0</v>
      </c>
    </row>
    <row r="83">
      <c r="A83" s="51" t="s">
        <v>132</v>
      </c>
      <c r="B83" s="52" t="s">
        <v>242</v>
      </c>
      <c r="C83" s="131">
        <f t="shared" si="2"/>
        <v>12500</v>
      </c>
      <c r="D83" s="129">
        <v>14750.0</v>
      </c>
    </row>
    <row r="84">
      <c r="A84" s="51" t="s">
        <v>135</v>
      </c>
      <c r="B84" s="52" t="s">
        <v>243</v>
      </c>
      <c r="C84" s="131">
        <f t="shared" si="2"/>
        <v>18000</v>
      </c>
      <c r="D84" s="129">
        <v>21240.0</v>
      </c>
    </row>
    <row r="85">
      <c r="A85" s="51" t="s">
        <v>137</v>
      </c>
      <c r="B85" s="52" t="s">
        <v>244</v>
      </c>
      <c r="C85" s="131">
        <f t="shared" si="2"/>
        <v>18000</v>
      </c>
      <c r="D85" s="129">
        <v>21240.0</v>
      </c>
    </row>
    <row r="86">
      <c r="A86" s="51" t="s">
        <v>139</v>
      </c>
      <c r="B86" s="68" t="s">
        <v>140</v>
      </c>
      <c r="C86" s="131">
        <f t="shared" si="2"/>
        <v>22033.89831</v>
      </c>
      <c r="D86" s="129">
        <v>26000.0</v>
      </c>
    </row>
    <row r="87">
      <c r="A87" s="133"/>
      <c r="B87" s="134"/>
      <c r="C87" s="135"/>
      <c r="D87" s="136"/>
    </row>
    <row r="88">
      <c r="A88" s="137" t="s">
        <v>142</v>
      </c>
      <c r="B88" s="123"/>
      <c r="C88" s="124"/>
      <c r="D88" s="98"/>
    </row>
    <row r="89">
      <c r="A89" s="91"/>
      <c r="B89" s="130" t="s">
        <v>142</v>
      </c>
      <c r="C89" s="95" t="s">
        <v>6</v>
      </c>
      <c r="D89" s="96" t="s">
        <v>7</v>
      </c>
    </row>
    <row r="90">
      <c r="A90" s="51" t="s">
        <v>143</v>
      </c>
      <c r="B90" s="138" t="s">
        <v>144</v>
      </c>
      <c r="C90" s="139">
        <f t="shared" ref="C90:C93" si="3">+D90/1.18</f>
        <v>21610.16949</v>
      </c>
      <c r="D90" s="128">
        <v>25500.0</v>
      </c>
    </row>
    <row r="91">
      <c r="A91" s="51" t="s">
        <v>148</v>
      </c>
      <c r="B91" s="68" t="s">
        <v>245</v>
      </c>
      <c r="C91" s="131">
        <f t="shared" si="3"/>
        <v>34745.76271</v>
      </c>
      <c r="D91" s="129">
        <v>41000.0</v>
      </c>
    </row>
    <row r="92">
      <c r="A92" s="51" t="s">
        <v>150</v>
      </c>
      <c r="B92" s="52" t="s">
        <v>151</v>
      </c>
      <c r="C92" s="131">
        <f t="shared" si="3"/>
        <v>56779.66102</v>
      </c>
      <c r="D92" s="129">
        <v>67000.0</v>
      </c>
    </row>
    <row r="93">
      <c r="A93" s="51" t="s">
        <v>152</v>
      </c>
      <c r="B93" s="68" t="s">
        <v>153</v>
      </c>
      <c r="C93" s="131">
        <f t="shared" si="3"/>
        <v>22033.89831</v>
      </c>
      <c r="D93" s="129">
        <v>26000.0</v>
      </c>
    </row>
    <row r="94">
      <c r="A94" s="51" t="s">
        <v>154</v>
      </c>
      <c r="B94" s="68" t="s">
        <v>246</v>
      </c>
      <c r="C94" s="131">
        <f>D94/1.18</f>
        <v>35593.22034</v>
      </c>
      <c r="D94" s="129">
        <v>42000.0</v>
      </c>
    </row>
    <row r="95">
      <c r="A95" s="133"/>
      <c r="B95" s="70"/>
      <c r="C95" s="70"/>
      <c r="D95" s="140"/>
    </row>
    <row r="96">
      <c r="A96" s="137" t="s">
        <v>156</v>
      </c>
      <c r="B96" s="123"/>
      <c r="C96" s="124"/>
      <c r="D96" s="98"/>
    </row>
    <row r="97">
      <c r="A97" s="91"/>
      <c r="B97" s="141"/>
      <c r="C97" s="142" t="s">
        <v>6</v>
      </c>
      <c r="D97" s="143" t="s">
        <v>7</v>
      </c>
    </row>
    <row r="98">
      <c r="A98" s="69"/>
      <c r="B98" s="144"/>
      <c r="C98" s="145"/>
      <c r="D98" s="60"/>
    </row>
    <row r="99">
      <c r="A99" s="51" t="s">
        <v>158</v>
      </c>
      <c r="B99" s="146" t="s">
        <v>159</v>
      </c>
      <c r="C99" s="139">
        <f>+D99/1.18</f>
        <v>18644.0678</v>
      </c>
      <c r="D99" s="128">
        <v>22000.0</v>
      </c>
    </row>
    <row r="100">
      <c r="A100" s="69"/>
      <c r="B100" s="147"/>
      <c r="C100" s="148"/>
      <c r="D100" s="33"/>
    </row>
    <row r="101">
      <c r="A101" s="51" t="s">
        <v>164</v>
      </c>
      <c r="B101" s="146" t="s">
        <v>165</v>
      </c>
      <c r="C101" s="139">
        <f>+D101/1.18</f>
        <v>18644.0678</v>
      </c>
      <c r="D101" s="128">
        <v>22000.0</v>
      </c>
    </row>
    <row r="102">
      <c r="A102" s="69"/>
      <c r="B102" s="147"/>
      <c r="C102" s="148"/>
      <c r="D102" s="33"/>
    </row>
    <row r="103">
      <c r="A103" s="51" t="s">
        <v>166</v>
      </c>
      <c r="B103" s="146" t="s">
        <v>167</v>
      </c>
      <c r="C103" s="139">
        <f>+D103/1.18</f>
        <v>22796.61017</v>
      </c>
      <c r="D103" s="128">
        <v>26900.0</v>
      </c>
    </row>
    <row r="104">
      <c r="A104" s="69"/>
      <c r="B104" s="147"/>
      <c r="C104" s="148"/>
      <c r="D104" s="33"/>
    </row>
    <row r="105">
      <c r="A105" s="51" t="s">
        <v>168</v>
      </c>
      <c r="B105" s="146" t="s">
        <v>169</v>
      </c>
      <c r="C105" s="139">
        <f>+D105/1.18</f>
        <v>24406.77966</v>
      </c>
      <c r="D105" s="128">
        <v>28800.0</v>
      </c>
    </row>
    <row r="106">
      <c r="A106" s="69"/>
      <c r="B106" s="147"/>
      <c r="C106" s="148"/>
      <c r="D106" s="33"/>
    </row>
    <row r="107">
      <c r="A107" s="51" t="s">
        <v>170</v>
      </c>
      <c r="B107" s="146" t="s">
        <v>171</v>
      </c>
      <c r="C107" s="139">
        <f>+D107/1.18</f>
        <v>18644.0678</v>
      </c>
      <c r="D107" s="128">
        <v>22000.0</v>
      </c>
    </row>
    <row r="108">
      <c r="A108" s="51"/>
      <c r="B108" s="146"/>
      <c r="C108" s="139"/>
      <c r="D108" s="128"/>
    </row>
    <row r="109">
      <c r="A109" s="51" t="s">
        <v>172</v>
      </c>
      <c r="B109" s="146" t="s">
        <v>173</v>
      </c>
      <c r="C109" s="139">
        <f>+D109/1.18</f>
        <v>22881.35593</v>
      </c>
      <c r="D109" s="128">
        <v>27000.0</v>
      </c>
    </row>
    <row r="110">
      <c r="A110" s="69"/>
      <c r="B110" s="147"/>
      <c r="C110" s="148"/>
      <c r="D110" s="33"/>
    </row>
    <row r="111">
      <c r="A111" s="51" t="s">
        <v>175</v>
      </c>
      <c r="B111" s="146" t="s">
        <v>176</v>
      </c>
      <c r="C111" s="139">
        <f>+D111/1.18</f>
        <v>33898.30508</v>
      </c>
      <c r="D111" s="128">
        <v>40000.0</v>
      </c>
    </row>
    <row r="112">
      <c r="A112" s="69"/>
      <c r="B112" s="147"/>
      <c r="C112" s="149"/>
      <c r="D112" s="33"/>
    </row>
    <row r="113">
      <c r="A113" s="51" t="s">
        <v>177</v>
      </c>
      <c r="B113" s="146" t="s">
        <v>178</v>
      </c>
      <c r="C113" s="139">
        <f>+D113/1.18</f>
        <v>29915.25424</v>
      </c>
      <c r="D113" s="128">
        <v>35300.0</v>
      </c>
    </row>
    <row r="114">
      <c r="A114" s="69"/>
      <c r="B114" s="147"/>
      <c r="C114" s="148"/>
      <c r="D114" s="33"/>
    </row>
    <row r="115">
      <c r="A115" s="51" t="s">
        <v>180</v>
      </c>
      <c r="B115" s="146" t="s">
        <v>181</v>
      </c>
      <c r="C115" s="139">
        <f>+D115/1.18</f>
        <v>35593.22034</v>
      </c>
      <c r="D115" s="128">
        <v>42000.0</v>
      </c>
    </row>
    <row r="116">
      <c r="A116" s="69"/>
      <c r="B116" s="147"/>
      <c r="C116" s="148"/>
      <c r="D116" s="33"/>
    </row>
    <row r="117">
      <c r="A117" s="51" t="s">
        <v>183</v>
      </c>
      <c r="B117" s="146" t="s">
        <v>184</v>
      </c>
      <c r="C117" s="139">
        <f>+D117/1.18</f>
        <v>33893.22034</v>
      </c>
      <c r="D117" s="128">
        <v>39994.0</v>
      </c>
    </row>
    <row r="118">
      <c r="A118" s="69"/>
      <c r="B118" s="147"/>
      <c r="C118" s="148"/>
      <c r="D118" s="33"/>
    </row>
    <row r="119">
      <c r="A119" s="51" t="s">
        <v>185</v>
      </c>
      <c r="B119" s="146" t="s">
        <v>247</v>
      </c>
      <c r="C119" s="139">
        <f>+D119/1.18</f>
        <v>33894.0678</v>
      </c>
      <c r="D119" s="128">
        <v>39995.0</v>
      </c>
    </row>
    <row r="120">
      <c r="A120" s="69"/>
      <c r="B120" s="147"/>
      <c r="C120" s="149"/>
      <c r="D120" s="33"/>
    </row>
    <row r="121">
      <c r="A121" s="51" t="s">
        <v>154</v>
      </c>
      <c r="B121" s="150" t="s">
        <v>248</v>
      </c>
      <c r="C121" s="139">
        <f>+D121/1.18</f>
        <v>33894.0678</v>
      </c>
      <c r="D121" s="128">
        <v>39995.0</v>
      </c>
    </row>
    <row r="122">
      <c r="A122" s="69"/>
      <c r="B122" s="147"/>
      <c r="C122" s="149"/>
      <c r="D122" s="33"/>
    </row>
    <row r="123">
      <c r="A123" s="51" t="s">
        <v>188</v>
      </c>
      <c r="B123" s="151" t="s">
        <v>249</v>
      </c>
      <c r="C123" s="152">
        <f>+D123/1.18</f>
        <v>39152.54237</v>
      </c>
      <c r="D123" s="153">
        <v>46200.0</v>
      </c>
    </row>
    <row r="124">
      <c r="A124" s="70"/>
      <c r="B124" s="70"/>
      <c r="C124" s="70"/>
      <c r="D124" s="135"/>
    </row>
  </sheetData>
  <mergeCells count="8">
    <mergeCell ref="A1:A2"/>
    <mergeCell ref="B1:D6"/>
    <mergeCell ref="A3:A4"/>
    <mergeCell ref="A5:A6"/>
    <mergeCell ref="A7:D7"/>
    <mergeCell ref="A62:B62"/>
    <mergeCell ref="A88:B88"/>
    <mergeCell ref="A96:B9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