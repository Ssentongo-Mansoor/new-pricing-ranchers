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ITAL SHOPPERS" sheetId="1" r:id="rId4"/>
  </sheets>
  <definedNames/>
  <calcPr/>
  <extLst>
    <ext uri="GoogleSheetsCustomDataVersion2">
      <go:sheetsCustomData xmlns:go="http://customooxmlschemas.google.com/" r:id="rId5" roundtripDataChecksum="hLudg/E+a0/dwt5+edSS3uqq1PE2S0V03TBOpXGGT84="/>
    </ext>
  </extLst>
</workbook>
</file>

<file path=xl/sharedStrings.xml><?xml version="1.0" encoding="utf-8"?>
<sst xmlns="http://schemas.openxmlformats.org/spreadsheetml/2006/main" count="476" uniqueCount="267">
  <si>
    <t xml:space="preserve"> </t>
  </si>
  <si>
    <r>
      <rPr>
        <rFont val="Calibri"/>
        <b/>
        <i/>
        <color rgb="FF000000"/>
        <sz val="11.0"/>
        <u/>
      </rPr>
      <t>CAPITAL SHOPPERS PRICELIST</t>
    </r>
    <r>
      <rPr>
        <rFont val="Calibri"/>
        <b/>
        <i/>
        <color rgb="FF000000"/>
        <sz val="11.0"/>
      </rPr>
      <t xml:space="preserve">  MARCH ,2026</t>
    </r>
  </si>
  <si>
    <t>FROZEN PRODUCTS</t>
  </si>
  <si>
    <t xml:space="preserve">                                   </t>
  </si>
  <si>
    <t>PACKING PER BOX</t>
  </si>
  <si>
    <t>ART NO</t>
  </si>
  <si>
    <t>BARCODE</t>
  </si>
  <si>
    <t>PREMIUM SAUSAGES</t>
  </si>
  <si>
    <t>Pack Size</t>
  </si>
  <si>
    <t>PRICE VAT EXCL.</t>
  </si>
  <si>
    <t>10% VAT INCL</t>
  </si>
  <si>
    <t>initial</t>
  </si>
  <si>
    <t>RRP</t>
  </si>
  <si>
    <t>SMALL</t>
  </si>
  <si>
    <t>MEDIUM</t>
  </si>
  <si>
    <t>LARGE</t>
  </si>
  <si>
    <t xml:space="preserve">     </t>
  </si>
  <si>
    <t>RT101</t>
  </si>
  <si>
    <t>ENGLISH BEEF SAUSAGES</t>
  </si>
  <si>
    <t>500G</t>
  </si>
  <si>
    <t>RT102</t>
  </si>
  <si>
    <t>1kg</t>
  </si>
  <si>
    <t>RT103</t>
  </si>
  <si>
    <t>ENGLISH PORK SAUSAGES</t>
  </si>
  <si>
    <t>RT104</t>
  </si>
  <si>
    <t>1 kg</t>
  </si>
  <si>
    <t>RT105</t>
  </si>
  <si>
    <t>ENGLISH CHICKEN SAUSAGES</t>
  </si>
  <si>
    <t>RT106</t>
  </si>
  <si>
    <t>RT107</t>
  </si>
  <si>
    <t>BREAKFAST SAUSAGES BEEF</t>
  </si>
  <si>
    <t>350G</t>
  </si>
  <si>
    <t>RT108</t>
  </si>
  <si>
    <t>700G</t>
  </si>
  <si>
    <t>RT109</t>
  </si>
  <si>
    <t>BREAKFAST SAUSAGES PORK</t>
  </si>
  <si>
    <t>RT110</t>
  </si>
  <si>
    <t>RT111</t>
  </si>
  <si>
    <t>BREAKFAST SAUSAGES CHICKEN</t>
  </si>
  <si>
    <t>RT112</t>
  </si>
  <si>
    <t>RT113</t>
  </si>
  <si>
    <t>BBQ SAUSAGES BEEF</t>
  </si>
  <si>
    <t>RT114</t>
  </si>
  <si>
    <t>RT115</t>
  </si>
  <si>
    <t>BBQ SAUSAGES PORK</t>
  </si>
  <si>
    <t>RT116</t>
  </si>
  <si>
    <t>RT117</t>
  </si>
  <si>
    <t>BBQ SAUSAGES CHICKEN</t>
  </si>
  <si>
    <t>RT118</t>
  </si>
  <si>
    <t>RT119</t>
  </si>
  <si>
    <t>BOEREWORS</t>
  </si>
  <si>
    <t>RT120</t>
  </si>
  <si>
    <t>RT121</t>
  </si>
  <si>
    <t>TRADITIONAL CHILLI SMOKED SAUSAGES</t>
  </si>
  <si>
    <t>5pcs</t>
  </si>
  <si>
    <t>RT122</t>
  </si>
  <si>
    <t>TRADITIONAL SMOKED SAUSAGES</t>
  </si>
  <si>
    <t>RT123</t>
  </si>
  <si>
    <t>SMOKIES BEEF</t>
  </si>
  <si>
    <t>400g</t>
  </si>
  <si>
    <t>RT124</t>
  </si>
  <si>
    <t>RT125</t>
  </si>
  <si>
    <t>SMOKIES BEEF CHILLI</t>
  </si>
  <si>
    <t>RT126</t>
  </si>
  <si>
    <t>RT127</t>
  </si>
  <si>
    <t>RUSSIAN SAUSAGES</t>
  </si>
  <si>
    <t>RT143</t>
  </si>
  <si>
    <t>BOUDIN BLANC</t>
  </si>
  <si>
    <t>3pcs</t>
  </si>
  <si>
    <t>RT142</t>
  </si>
  <si>
    <t>RT144</t>
  </si>
  <si>
    <t xml:space="preserve">RF - BEEF CHIPOLATA </t>
  </si>
  <si>
    <t>720g</t>
  </si>
  <si>
    <t>RT145</t>
  </si>
  <si>
    <t>RF - CHICKEN CHIPOLATA</t>
  </si>
  <si>
    <t>RT146</t>
  </si>
  <si>
    <t>RF - PORK CHIPOLATA</t>
  </si>
  <si>
    <t>HOTDOGS &amp; VIENNAS</t>
  </si>
  <si>
    <t>Price  Excl VAT</t>
  </si>
  <si>
    <t>RT601</t>
  </si>
  <si>
    <t>HOTDOGS BEEF</t>
  </si>
  <si>
    <t>1 KG</t>
  </si>
  <si>
    <t>RT602</t>
  </si>
  <si>
    <t>500g</t>
  </si>
  <si>
    <t>RT603</t>
  </si>
  <si>
    <t>HOTDOGS PORK</t>
  </si>
  <si>
    <t>RT604</t>
  </si>
  <si>
    <t>RT605</t>
  </si>
  <si>
    <t>HOTDOGS CHICKEN</t>
  </si>
  <si>
    <t>RT606</t>
  </si>
  <si>
    <t>RT609</t>
  </si>
  <si>
    <t>AMERICAN HOTDOG</t>
  </si>
  <si>
    <t>RT610</t>
  </si>
  <si>
    <t>RT607</t>
  </si>
  <si>
    <t>CHICKEN VIENNAS</t>
  </si>
  <si>
    <t>RT608</t>
  </si>
  <si>
    <t xml:space="preserve">CHICKEN VIENNAS </t>
  </si>
  <si>
    <t>READY TO EAT PRODUCTS</t>
  </si>
  <si>
    <t>RTE901</t>
  </si>
  <si>
    <t>RTE-   AMERICAN HOTDOG (incl.bun)</t>
  </si>
  <si>
    <t>Piece</t>
  </si>
  <si>
    <t>RTE904</t>
  </si>
  <si>
    <t>RTE -  CHICKEN  BURGER  (incl.bun)</t>
  </si>
  <si>
    <t>RTE902</t>
  </si>
  <si>
    <t>RTE -  BEEF BURGER  (incl.bun)</t>
  </si>
  <si>
    <t>RTE903</t>
  </si>
  <si>
    <t>RTE -  BBQ HOTDOG CHICKEN (incl. bun)</t>
  </si>
  <si>
    <t>RTE905</t>
  </si>
  <si>
    <t xml:space="preserve">RTE -  CLASSIC POLONY </t>
  </si>
  <si>
    <t>RTE906</t>
  </si>
  <si>
    <t xml:space="preserve">RTE -  SMOKED PRIME BEEF </t>
  </si>
  <si>
    <t>RTE907</t>
  </si>
  <si>
    <t>RTE -  ROASTED TURKEY</t>
  </si>
  <si>
    <t>RTE908</t>
  </si>
  <si>
    <t xml:space="preserve">RTE -  SMOKED CHICKEN </t>
  </si>
  <si>
    <t>BURGERS</t>
  </si>
  <si>
    <t>RT201</t>
  </si>
  <si>
    <t>SEASONED BEEF BURGERS</t>
  </si>
  <si>
    <t>4PCS</t>
  </si>
  <si>
    <t>RT202</t>
  </si>
  <si>
    <t>SEASONED GOAT BURGERS</t>
  </si>
  <si>
    <t>4 PCS</t>
  </si>
  <si>
    <t>RT203</t>
  </si>
  <si>
    <t>SEASONED CHICKEN BURGERS</t>
  </si>
  <si>
    <t xml:space="preserve">4 PCS </t>
  </si>
  <si>
    <t>PROCESSED PRODUCTS</t>
  </si>
  <si>
    <t>COLD MEATS</t>
  </si>
  <si>
    <t>Price Excl VAT</t>
  </si>
  <si>
    <t>RT301</t>
  </si>
  <si>
    <t>SANDWICH HAM SLICED</t>
  </si>
  <si>
    <t>200g</t>
  </si>
  <si>
    <t>RT303</t>
  </si>
  <si>
    <t>COOKED GARLIC SALAMI SLICED</t>
  </si>
  <si>
    <t>RT305</t>
  </si>
  <si>
    <t>POLONY SLICED</t>
  </si>
  <si>
    <t>RT308</t>
  </si>
  <si>
    <t xml:space="preserve">BEEF MORTADELLA </t>
  </si>
  <si>
    <t>RT309</t>
  </si>
  <si>
    <t>BEEF PEPPERONI</t>
  </si>
  <si>
    <t>RT319</t>
  </si>
  <si>
    <t>PORK PEPPERONI</t>
  </si>
  <si>
    <t>RT312</t>
  </si>
  <si>
    <t>PLAIN SALAMI</t>
  </si>
  <si>
    <t>RT313</t>
  </si>
  <si>
    <t>GARLIC SALAMI</t>
  </si>
  <si>
    <t>KG</t>
  </si>
  <si>
    <t>RT314</t>
  </si>
  <si>
    <t>RT315</t>
  </si>
  <si>
    <t>CHORIZO</t>
  </si>
  <si>
    <t>RT316</t>
  </si>
  <si>
    <t>RT317</t>
  </si>
  <si>
    <t xml:space="preserve">PEPPER SALAMI </t>
  </si>
  <si>
    <t>RT318</t>
  </si>
  <si>
    <t>BEEF SALAMI</t>
  </si>
  <si>
    <t>RT320</t>
  </si>
  <si>
    <t>SMOKED GOURMET HAM</t>
  </si>
  <si>
    <t>RT321</t>
  </si>
  <si>
    <t>SALAMETTI  (WHOLE)</t>
  </si>
  <si>
    <t>560Gr</t>
  </si>
  <si>
    <t>RT322</t>
  </si>
  <si>
    <t>GARLIC SALAMETTI (WHOLE)</t>
  </si>
  <si>
    <t>RT323</t>
  </si>
  <si>
    <t>PEPPER SALAMETTI (WHOLE)</t>
  </si>
  <si>
    <t>BACON</t>
  </si>
  <si>
    <t>RT401</t>
  </si>
  <si>
    <t>STREAKY BACON SLICED</t>
  </si>
  <si>
    <t>RT402</t>
  </si>
  <si>
    <t>BEEF BACON SLICED</t>
  </si>
  <si>
    <t>RT403</t>
  </si>
  <si>
    <t xml:space="preserve">BACK BACON SLICED </t>
  </si>
  <si>
    <t>RT410</t>
  </si>
  <si>
    <t>ROASTED BACON</t>
  </si>
  <si>
    <t>RT411</t>
  </si>
  <si>
    <t>AMERICAN BACON</t>
  </si>
  <si>
    <t>RT412</t>
  </si>
  <si>
    <t>CATERING BACON</t>
  </si>
  <si>
    <t>RT413</t>
  </si>
  <si>
    <t>PACKED MEAT CUTS</t>
  </si>
  <si>
    <t>FROZEN CHOICE BEEF</t>
  </si>
  <si>
    <t>RT501</t>
  </si>
  <si>
    <t>MINCED BEEF</t>
  </si>
  <si>
    <t xml:space="preserve">1Kg
</t>
  </si>
  <si>
    <t>RT502</t>
  </si>
  <si>
    <t>RT505</t>
  </si>
  <si>
    <t xml:space="preserve">BEEF STEAK </t>
  </si>
  <si>
    <t>RT506</t>
  </si>
  <si>
    <t>BEEF CUBES</t>
  </si>
  <si>
    <t>RT514</t>
  </si>
  <si>
    <t>BETAR BEEF STEW</t>
  </si>
  <si>
    <t>1Kg</t>
  </si>
  <si>
    <t>4 - 5</t>
  </si>
  <si>
    <t>8 - 10</t>
  </si>
  <si>
    <t>RT515</t>
  </si>
  <si>
    <t>BETAR BEEF (BONELESS)</t>
  </si>
  <si>
    <t>4 -5</t>
  </si>
  <si>
    <t>8- 10</t>
  </si>
  <si>
    <t xml:space="preserve">FROZEN PORK </t>
  </si>
  <si>
    <t>PORK CUBES</t>
  </si>
  <si>
    <t>PORK CHOPS</t>
  </si>
  <si>
    <t>PORK STEAKS</t>
  </si>
  <si>
    <t>MINCED  PORK</t>
  </si>
  <si>
    <t>FROZEN CHICKEN &amp; TURKEY</t>
  </si>
  <si>
    <t>RT701</t>
  </si>
  <si>
    <t>CHICKEN WINGS</t>
  </si>
  <si>
    <t xml:space="preserve"> +/-  1 Kg</t>
  </si>
  <si>
    <t>RT702</t>
  </si>
  <si>
    <t>CHICKEN DRUMSTICKS</t>
  </si>
  <si>
    <t>RT703</t>
  </si>
  <si>
    <t>CHICKEN LEGS</t>
  </si>
  <si>
    <t>RT704</t>
  </si>
  <si>
    <t>CHICKEN THIGHS</t>
  </si>
  <si>
    <t>RT705</t>
  </si>
  <si>
    <t>CHICKEN FILLET</t>
  </si>
  <si>
    <t>RT706</t>
  </si>
  <si>
    <t>MINCED CHICKEN</t>
  </si>
  <si>
    <t>RT050</t>
  </si>
  <si>
    <t xml:space="preserve">MEDIUM - TURKEY WHOLE  </t>
  </si>
  <si>
    <t>PCS</t>
  </si>
  <si>
    <t>RT051</t>
  </si>
  <si>
    <t>LARGE   -   TURKEY WHOLE</t>
  </si>
  <si>
    <t xml:space="preserve"> CHILLED  PRODUCTS</t>
  </si>
  <si>
    <t>RT143C</t>
  </si>
  <si>
    <t>RT142C</t>
  </si>
  <si>
    <t>RT609C</t>
  </si>
  <si>
    <t>350g</t>
  </si>
  <si>
    <t>RT610C</t>
  </si>
  <si>
    <t>RT608C</t>
  </si>
  <si>
    <t>CHILLED BACON</t>
  </si>
  <si>
    <t>RT410C</t>
  </si>
  <si>
    <t>RT404C</t>
  </si>
  <si>
    <t>SMOKED BACON</t>
  </si>
  <si>
    <t>RT411C</t>
  </si>
  <si>
    <t xml:space="preserve">CHILLED COLD MEATS </t>
  </si>
  <si>
    <t>RT301C</t>
  </si>
  <si>
    <t>RT303C</t>
  </si>
  <si>
    <t>RT309C</t>
  </si>
  <si>
    <t>RT405C</t>
  </si>
  <si>
    <t>ROASTED HAM</t>
  </si>
  <si>
    <t>RT406C</t>
  </si>
  <si>
    <t>ROASTED  BEEF</t>
  </si>
  <si>
    <t>RT407C</t>
  </si>
  <si>
    <t>SMOKED HAM</t>
  </si>
  <si>
    <t>RT408C</t>
  </si>
  <si>
    <t>SMOKED BEEF</t>
  </si>
  <si>
    <t>RT409C</t>
  </si>
  <si>
    <t>BEEF PASTRAMI</t>
  </si>
  <si>
    <t>RT308C</t>
  </si>
  <si>
    <t>RT312C</t>
  </si>
  <si>
    <t>RT316C</t>
  </si>
  <si>
    <t>RT317C</t>
  </si>
  <si>
    <t>RT318C</t>
  </si>
  <si>
    <t>RT319C</t>
  </si>
  <si>
    <t>RT320C</t>
  </si>
  <si>
    <t>CHILLED PRIME BEEF</t>
  </si>
  <si>
    <t>RT507PC</t>
  </si>
  <si>
    <t>PRIME BEEF RIB EYE</t>
  </si>
  <si>
    <t>RT508PC</t>
  </si>
  <si>
    <t>PRIME BEEF SIRLOIN STEAK</t>
  </si>
  <si>
    <t>RT509PC</t>
  </si>
  <si>
    <t>PRIME BEEF RUMP STEAK</t>
  </si>
  <si>
    <t>RT510PC</t>
  </si>
  <si>
    <t>PRIME BEEF STEAK</t>
  </si>
  <si>
    <t>RT511PC</t>
  </si>
  <si>
    <t>PRIME BEEF SKEWERS</t>
  </si>
  <si>
    <t>OTHERS</t>
  </si>
  <si>
    <t>DOG FOOD</t>
  </si>
  <si>
    <t xml:space="preserve">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</si>
</sst>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#,##0;[Red]#,##0"/>
    <numFmt numFmtId="166" formatCode="_(* #,##0_);_(* \(#,##0\);_(* &quot;-&quot;??_);_(@_)"/>
  </numFmts>
  <fonts count="26">
    <font>
      <sz val="11.0"/>
      <color theme="1"/>
      <name val="Calibri"/>
      <scheme val="minor"/>
    </font>
    <font>
      <sz val="11.0"/>
      <color theme="1"/>
      <name val="Calibri"/>
    </font>
    <font/>
    <font>
      <b/>
      <i/>
      <sz val="11.0"/>
      <color rgb="FF000000"/>
      <name val="Calibri"/>
    </font>
    <font>
      <i/>
      <sz val="11.0"/>
      <color rgb="FF000000"/>
      <name val="Calibri"/>
    </font>
    <font>
      <b/>
      <i/>
      <sz val="22.0"/>
      <color rgb="FF000000"/>
      <name val="Calibri"/>
    </font>
    <font>
      <b/>
      <u/>
      <sz val="11.0"/>
      <color rgb="FF000000"/>
      <name val="Calibri"/>
    </font>
    <font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sz val="11.0"/>
      <color theme="1"/>
      <name val="Arial"/>
    </font>
    <font>
      <u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i/>
      <u/>
      <sz val="11.0"/>
      <color rgb="FF000000"/>
      <name val="Calibri"/>
    </font>
    <font>
      <b/>
      <i/>
      <sz val="2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8EAADB"/>
        <bgColor rgb="FF8EAADB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FCE4D6"/>
        <bgColor rgb="FFFCE4D6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1" xfId="0" applyAlignment="1" applyFont="1" applyNumberFormat="1">
      <alignment horizontal="center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1" fillId="2" fontId="3" numFmtId="0" xfId="0" applyAlignment="1" applyBorder="1" applyFill="1" applyFont="1">
      <alignment horizontal="center" readingOrder="0" vertical="center"/>
    </xf>
    <xf borderId="4" fillId="3" fontId="4" numFmtId="164" xfId="0" applyAlignment="1" applyBorder="1" applyFill="1" applyFont="1" applyNumberFormat="1">
      <alignment horizontal="center" vertical="center"/>
    </xf>
    <xf borderId="4" fillId="3" fontId="3" numFmtId="1" xfId="0" applyAlignment="1" applyBorder="1" applyFont="1" applyNumberFormat="1">
      <alignment horizontal="center" vertical="center"/>
    </xf>
    <xf borderId="1" fillId="2" fontId="5" numFmtId="0" xfId="0" applyAlignment="1" applyBorder="1" applyFont="1">
      <alignment horizontal="center" vertical="center"/>
    </xf>
    <xf borderId="5" fillId="0" fontId="2" numFmtId="0" xfId="0" applyBorder="1" applyFont="1"/>
    <xf borderId="4" fillId="2" fontId="3" numFmtId="165" xfId="0" applyAlignment="1" applyBorder="1" applyFont="1" applyNumberFormat="1">
      <alignment horizontal="center" vertical="center"/>
    </xf>
    <xf borderId="4" fillId="4" fontId="3" numFmtId="0" xfId="0" applyAlignment="1" applyBorder="1" applyFill="1" applyFont="1">
      <alignment horizontal="center" vertical="center"/>
    </xf>
    <xf borderId="4" fillId="5" fontId="6" numFmtId="0" xfId="0" applyAlignment="1" applyBorder="1" applyFill="1" applyFont="1">
      <alignment horizontal="center" shrinkToFit="0" vertical="center" wrapText="1"/>
    </xf>
    <xf borderId="4" fillId="5" fontId="7" numFmtId="164" xfId="0" applyAlignment="1" applyBorder="1" applyFont="1" applyNumberFormat="1">
      <alignment horizontal="center" vertical="center"/>
    </xf>
    <xf borderId="4" fillId="5" fontId="8" numFmtId="1" xfId="0" applyAlignment="1" applyBorder="1" applyFont="1" applyNumberFormat="1">
      <alignment horizontal="center" vertical="center"/>
    </xf>
    <xf borderId="4" fillId="5" fontId="9" numFmtId="0" xfId="0" applyAlignment="1" applyBorder="1" applyFont="1">
      <alignment horizontal="center" vertical="center"/>
    </xf>
    <xf borderId="4" fillId="5" fontId="10" numFmtId="0" xfId="0" applyAlignment="1" applyBorder="1" applyFont="1">
      <alignment vertical="center"/>
    </xf>
    <xf borderId="4" fillId="5" fontId="11" numFmtId="165" xfId="0" applyAlignment="1" applyBorder="1" applyFont="1" applyNumberFormat="1">
      <alignment horizontal="center" readingOrder="0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4" fillId="3" fontId="13" numFmtId="164" xfId="0" applyAlignment="1" applyBorder="1" applyFont="1" applyNumberFormat="1">
      <alignment vertical="center"/>
    </xf>
    <xf borderId="4" fillId="3" fontId="14" numFmtId="1" xfId="0" applyAlignment="1" applyBorder="1" applyFont="1" applyNumberFormat="1">
      <alignment horizontal="center" vertical="center"/>
    </xf>
    <xf borderId="4" fillId="5" fontId="15" numFmtId="0" xfId="0" applyAlignment="1" applyBorder="1" applyFont="1">
      <alignment horizontal="center" readingOrder="0" shrinkToFit="0" vertical="center" wrapText="1"/>
    </xf>
    <xf borderId="4" fillId="5" fontId="16" numFmtId="165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readingOrder="0"/>
    </xf>
    <xf borderId="4" fillId="3" fontId="1" numFmtId="164" xfId="0" applyAlignment="1" applyBorder="1" applyFont="1" applyNumberFormat="1">
      <alignment vertical="center"/>
    </xf>
    <xf borderId="4" fillId="3" fontId="1" numFmtId="1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vertical="center"/>
    </xf>
    <xf borderId="4" fillId="0" fontId="1" numFmtId="166" xfId="0" applyBorder="1" applyFont="1" applyNumberFormat="1"/>
    <xf borderId="4" fillId="0" fontId="1" numFmtId="166" xfId="0" applyAlignment="1" applyBorder="1" applyFont="1" applyNumberFormat="1">
      <alignment readingOrder="0"/>
    </xf>
    <xf borderId="4" fillId="0" fontId="1" numFmtId="165" xfId="0" applyAlignment="1" applyBorder="1" applyFont="1" applyNumberFormat="1">
      <alignment horizontal="center" vertical="center"/>
    </xf>
    <xf borderId="4" fillId="4" fontId="1" numFmtId="0" xfId="0" applyAlignment="1" applyBorder="1" applyFont="1">
      <alignment horizontal="center" vertical="center"/>
    </xf>
    <xf borderId="4" fillId="4" fontId="1" numFmtId="0" xfId="0" applyAlignment="1" applyBorder="1" applyFont="1">
      <alignment horizontal="center"/>
    </xf>
    <xf borderId="4" fillId="4" fontId="1" numFmtId="166" xfId="0" applyBorder="1" applyFont="1" applyNumberFormat="1"/>
    <xf borderId="1" fillId="0" fontId="1" numFmtId="166" xfId="0" applyBorder="1" applyFont="1" applyNumberFormat="1"/>
    <xf borderId="0" fillId="0" fontId="1" numFmtId="10" xfId="0" applyFont="1" applyNumberFormat="1"/>
    <xf borderId="2" fillId="0" fontId="1" numFmtId="0" xfId="0" applyBorder="1" applyFont="1"/>
    <xf borderId="2" fillId="0" fontId="17" numFmtId="0" xfId="0" applyAlignment="1" applyBorder="1" applyFont="1">
      <alignment horizontal="right"/>
    </xf>
    <xf borderId="4" fillId="3" fontId="18" numFmtId="164" xfId="0" applyAlignment="1" applyBorder="1" applyFont="1" applyNumberFormat="1">
      <alignment horizontal="center" vertical="center"/>
    </xf>
    <xf borderId="4" fillId="4" fontId="19" numFmtId="0" xfId="0" applyAlignment="1" applyBorder="1" applyFont="1">
      <alignment horizontal="center" shrinkToFit="0" vertical="center" wrapText="1"/>
    </xf>
    <xf borderId="6" fillId="5" fontId="20" numFmtId="0" xfId="0" applyAlignment="1" applyBorder="1" applyFont="1">
      <alignment horizontal="center" shrinkToFit="0" vertical="center" wrapText="1"/>
    </xf>
    <xf borderId="4" fillId="0" fontId="1" numFmtId="164" xfId="0" applyAlignment="1" applyBorder="1" applyFont="1" applyNumberFormat="1">
      <alignment horizontal="center" vertical="center"/>
    </xf>
    <xf borderId="4" fillId="0" fontId="1" numFmtId="164" xfId="0" applyAlignment="1" applyBorder="1" applyFont="1" applyNumberFormat="1">
      <alignment horizontal="center" readingOrder="0" vertical="center"/>
    </xf>
    <xf borderId="4" fillId="4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4" fillId="4" fontId="1" numFmtId="3" xfId="0" applyAlignment="1" applyBorder="1" applyFont="1" applyNumberFormat="1">
      <alignment horizontal="center" vertical="center"/>
    </xf>
    <xf borderId="4" fillId="0" fontId="1" numFmtId="3" xfId="0" applyAlignment="1" applyBorder="1" applyFont="1" applyNumberFormat="1">
      <alignment horizontal="center" vertical="center"/>
    </xf>
    <xf borderId="1" fillId="0" fontId="1" numFmtId="3" xfId="0" applyAlignment="1" applyBorder="1" applyFont="1" applyNumberFormat="1">
      <alignment horizontal="center" vertical="center"/>
    </xf>
    <xf borderId="1" fillId="2" fontId="3" numFmtId="0" xfId="0" applyAlignment="1" applyBorder="1" applyFont="1">
      <alignment horizontal="center" vertical="center"/>
    </xf>
    <xf borderId="4" fillId="6" fontId="1" numFmtId="166" xfId="0" applyBorder="1" applyFill="1" applyFont="1" applyNumberFormat="1"/>
    <xf borderId="4" fillId="6" fontId="1" numFmtId="165" xfId="0" applyAlignment="1" applyBorder="1" applyFont="1" applyNumberFormat="1">
      <alignment horizontal="center" vertical="center"/>
    </xf>
    <xf borderId="4" fillId="2" fontId="3" numFmtId="0" xfId="0" applyAlignment="1" applyBorder="1" applyFont="1">
      <alignment horizontal="center" vertical="center"/>
    </xf>
    <xf borderId="4" fillId="7" fontId="21" numFmtId="0" xfId="0" applyAlignment="1" applyBorder="1" applyFill="1" applyFont="1">
      <alignment horizontal="left" vertical="center"/>
    </xf>
    <xf borderId="4" fillId="7" fontId="3" numFmtId="0" xfId="0" applyAlignment="1" applyBorder="1" applyFont="1">
      <alignment horizontal="center" vertical="center"/>
    </xf>
    <xf borderId="6" fillId="7" fontId="3" numFmtId="0" xfId="0" applyAlignment="1" applyBorder="1" applyFont="1">
      <alignment horizontal="center" vertical="center"/>
    </xf>
    <xf borderId="4" fillId="3" fontId="21" numFmtId="1" xfId="0" applyAlignment="1" applyBorder="1" applyFont="1" applyNumberFormat="1">
      <alignment horizontal="center" vertical="center"/>
    </xf>
    <xf borderId="6" fillId="7" fontId="21" numFmtId="0" xfId="0" applyAlignment="1" applyBorder="1" applyFont="1">
      <alignment horizontal="left" vertical="center"/>
    </xf>
    <xf borderId="4" fillId="7" fontId="21" numFmtId="3" xfId="0" applyAlignment="1" applyBorder="1" applyFont="1" applyNumberFormat="1">
      <alignment horizontal="right" readingOrder="0" shrinkToFit="0" vertical="center" wrapText="1"/>
    </xf>
    <xf borderId="4" fillId="5" fontId="3" numFmtId="0" xfId="0" applyAlignment="1" applyBorder="1" applyFont="1">
      <alignment horizontal="center" vertical="center"/>
    </xf>
    <xf borderId="6" fillId="5" fontId="3" numFmtId="0" xfId="0" applyAlignment="1" applyBorder="1" applyFont="1">
      <alignment horizontal="center" vertical="center"/>
    </xf>
    <xf borderId="4" fillId="7" fontId="21" numFmtId="3" xfId="0" applyAlignment="1" applyBorder="1" applyFont="1" applyNumberFormat="1">
      <alignment horizontal="right" shrinkToFit="0" vertical="center" wrapText="1"/>
    </xf>
    <xf borderId="4" fillId="8" fontId="22" numFmtId="0" xfId="0" applyAlignment="1" applyBorder="1" applyFill="1" applyFont="1">
      <alignment vertical="center"/>
    </xf>
    <xf borderId="4" fillId="8" fontId="23" numFmtId="0" xfId="0" applyAlignment="1" applyBorder="1" applyFont="1">
      <alignment horizontal="center" shrinkToFit="0" vertical="center" wrapText="1"/>
    </xf>
    <xf borderId="4" fillId="3" fontId="1" numFmtId="1" xfId="0" applyAlignment="1" applyBorder="1" applyFont="1" applyNumberFormat="1">
      <alignment horizontal="center"/>
    </xf>
    <xf borderId="4" fillId="0" fontId="1" numFmtId="0" xfId="0" applyBorder="1" applyFont="1"/>
    <xf borderId="4" fillId="0" fontId="1" numFmtId="3" xfId="0" applyAlignment="1" applyBorder="1" applyFont="1" applyNumberFormat="1">
      <alignment horizontal="right"/>
    </xf>
    <xf borderId="2" fillId="0" fontId="1" numFmtId="164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center" readingOrder="0" vertical="center"/>
    </xf>
    <xf borderId="4" fillId="4" fontId="1" numFmtId="3" xfId="0" applyAlignment="1" applyBorder="1" applyFont="1" applyNumberFormat="1">
      <alignment horizontal="center" readingOrder="0" vertical="center"/>
    </xf>
    <xf borderId="1" fillId="5" fontId="3" numFmtId="0" xfId="0" applyAlignment="1" applyBorder="1" applyFont="1">
      <alignment horizontal="center" vertical="center"/>
    </xf>
    <xf borderId="4" fillId="9" fontId="1" numFmtId="166" xfId="0" applyBorder="1" applyFill="1" applyFont="1" applyNumberFormat="1"/>
    <xf borderId="4" fillId="9" fontId="1" numFmtId="165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horizontal="center" vertical="center"/>
    </xf>
    <xf borderId="7" fillId="5" fontId="3" numFmtId="0" xfId="0" applyAlignment="1" applyBorder="1" applyFont="1">
      <alignment horizontal="center" vertical="center"/>
    </xf>
    <xf borderId="4" fillId="8" fontId="24" numFmtId="0" xfId="0" applyAlignment="1" applyBorder="1" applyFont="1">
      <alignment vertical="center"/>
    </xf>
    <xf borderId="4" fillId="4" fontId="1" numFmtId="0" xfId="0" applyBorder="1" applyFont="1"/>
    <xf borderId="8" fillId="4" fontId="1" numFmtId="0" xfId="0" applyBorder="1" applyFont="1"/>
    <xf borderId="4" fillId="0" fontId="1" numFmtId="3" xfId="0" applyBorder="1" applyFont="1" applyNumberFormat="1"/>
    <xf borderId="1" fillId="0" fontId="1" numFmtId="0" xfId="0" applyBorder="1" applyFont="1"/>
    <xf quotePrefix="1" borderId="4" fillId="0" fontId="1" numFmtId="0" xfId="0" applyAlignment="1" applyBorder="1" applyFont="1">
      <alignment vertical="center"/>
    </xf>
    <xf borderId="1" fillId="5" fontId="25" numFmtId="0" xfId="0" applyAlignment="1" applyBorder="1" applyFont="1">
      <alignment horizontal="center" vertical="center"/>
    </xf>
    <xf borderId="4" fillId="10" fontId="1" numFmtId="166" xfId="0" applyBorder="1" applyFill="1" applyFont="1" applyNumberFormat="1"/>
    <xf borderId="4" fillId="10" fontId="1" numFmtId="165" xfId="0" applyAlignment="1" applyBorder="1" applyFont="1" applyNumberFormat="1">
      <alignment horizontal="center" vertical="center"/>
    </xf>
    <xf borderId="8" fillId="4" fontId="3" numFmtId="0" xfId="0" applyAlignment="1" applyBorder="1" applyFont="1">
      <alignment horizontal="center" vertical="center"/>
    </xf>
    <xf borderId="8" fillId="5" fontId="3" numFmtId="0" xfId="0" applyAlignment="1" applyBorder="1" applyFont="1">
      <alignment horizontal="center" vertical="center"/>
    </xf>
    <xf borderId="4" fillId="4" fontId="2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165" xfId="0" applyFont="1" applyNumberFormat="1"/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10058400" cy="1028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8.86"/>
    <col customWidth="1" min="3" max="3" width="38.29"/>
    <col customWidth="1" min="4" max="4" width="11.29"/>
    <col customWidth="1" min="5" max="7" width="10.57"/>
    <col customWidth="1" min="8" max="8" width="11.43"/>
    <col customWidth="1" min="9" max="9" width="9.86"/>
    <col customWidth="1" min="10" max="10" width="10.57"/>
    <col customWidth="1" min="11" max="11" width="9.57"/>
    <col customWidth="1" hidden="1" min="12" max="14" width="7.86"/>
    <col customWidth="1" min="15" max="19" width="7.86"/>
  </cols>
  <sheetData>
    <row r="1" ht="83.2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6"/>
      <c r="P1" s="6"/>
      <c r="Q1" s="6"/>
      <c r="R1" s="6"/>
      <c r="S1" s="6"/>
    </row>
    <row r="2" ht="16.5" customHeight="1">
      <c r="A2" s="7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6"/>
      <c r="P2" s="6"/>
      <c r="Q2" s="6"/>
      <c r="R2" s="6"/>
      <c r="S2" s="6"/>
    </row>
    <row r="3" ht="24.0" customHeight="1">
      <c r="A3" s="8"/>
      <c r="B3" s="9"/>
      <c r="C3" s="10" t="s">
        <v>2</v>
      </c>
      <c r="D3" s="4"/>
      <c r="E3" s="4"/>
      <c r="F3" s="11"/>
      <c r="G3" s="10"/>
      <c r="H3" s="12"/>
      <c r="I3" s="13"/>
      <c r="J3" s="13"/>
      <c r="K3" s="13"/>
      <c r="L3" s="14"/>
      <c r="M3" s="14"/>
      <c r="N3" s="14"/>
      <c r="O3" s="6"/>
      <c r="P3" s="6"/>
      <c r="Q3" s="6"/>
      <c r="R3" s="6"/>
      <c r="S3" s="6"/>
    </row>
    <row r="4" ht="16.5" customHeight="1">
      <c r="A4" s="15"/>
      <c r="B4" s="16"/>
      <c r="C4" s="17"/>
      <c r="D4" s="18"/>
      <c r="E4" s="14"/>
      <c r="F4" s="14"/>
      <c r="G4" s="14"/>
      <c r="H4" s="19" t="s">
        <v>3</v>
      </c>
      <c r="I4" s="20" t="s">
        <v>4</v>
      </c>
      <c r="J4" s="4"/>
      <c r="K4" s="5"/>
      <c r="L4" s="20" t="s">
        <v>4</v>
      </c>
      <c r="M4" s="4"/>
      <c r="N4" s="5"/>
      <c r="O4" s="6"/>
      <c r="P4" s="6"/>
      <c r="Q4" s="6"/>
      <c r="R4" s="6"/>
      <c r="S4" s="6"/>
    </row>
    <row r="5" ht="30.75" customHeight="1">
      <c r="A5" s="21" t="s">
        <v>5</v>
      </c>
      <c r="B5" s="22" t="s">
        <v>6</v>
      </c>
      <c r="C5" s="18" t="s">
        <v>7</v>
      </c>
      <c r="D5" s="18" t="s">
        <v>8</v>
      </c>
      <c r="E5" s="14" t="s">
        <v>9</v>
      </c>
      <c r="F5" s="23" t="s">
        <v>10</v>
      </c>
      <c r="G5" s="23" t="s">
        <v>11</v>
      </c>
      <c r="H5" s="24" t="s">
        <v>12</v>
      </c>
      <c r="I5" s="14" t="s">
        <v>13</v>
      </c>
      <c r="J5" s="14" t="s">
        <v>14</v>
      </c>
      <c r="K5" s="14" t="s">
        <v>15</v>
      </c>
      <c r="L5" s="14" t="s">
        <v>13</v>
      </c>
      <c r="M5" s="14" t="s">
        <v>14</v>
      </c>
      <c r="N5" s="14" t="s">
        <v>15</v>
      </c>
      <c r="O5" s="25" t="s">
        <v>16</v>
      </c>
      <c r="P5" s="6"/>
      <c r="Q5" s="6"/>
      <c r="R5" s="6"/>
      <c r="S5" s="6"/>
    </row>
    <row r="6" ht="16.5" customHeight="1">
      <c r="A6" s="26" t="s">
        <v>17</v>
      </c>
      <c r="B6" s="27">
        <v>6.16400469554E12</v>
      </c>
      <c r="C6" s="28" t="s">
        <v>18</v>
      </c>
      <c r="D6" s="28" t="s">
        <v>19</v>
      </c>
      <c r="E6" s="29">
        <f t="shared" ref="E6:E37" si="2">F6/1.18</f>
        <v>11074.57627</v>
      </c>
      <c r="F6" s="30">
        <v>13068.0</v>
      </c>
      <c r="G6" s="30">
        <v>14520.0</v>
      </c>
      <c r="H6" s="31">
        <f t="shared" ref="H6:H37" si="3">G6+2000</f>
        <v>16520</v>
      </c>
      <c r="I6" s="32">
        <v>8.0</v>
      </c>
      <c r="J6" s="33">
        <v>16.0</v>
      </c>
      <c r="K6" s="33">
        <v>40.0</v>
      </c>
      <c r="L6" s="34" t="str">
        <f t="shared" ref="L6:N6" si="1">I6*#REF!</f>
        <v>#REF!</v>
      </c>
      <c r="M6" s="29" t="str">
        <f t="shared" si="1"/>
        <v>#REF!</v>
      </c>
      <c r="N6" s="35" t="str">
        <f t="shared" si="1"/>
        <v>#REF!</v>
      </c>
      <c r="O6" s="6"/>
      <c r="P6" s="6"/>
      <c r="Q6" s="6"/>
      <c r="R6" s="6"/>
      <c r="S6" s="6"/>
    </row>
    <row r="7" ht="16.5" customHeight="1">
      <c r="A7" s="26" t="s">
        <v>20</v>
      </c>
      <c r="B7" s="27">
        <v>6.164004695496E12</v>
      </c>
      <c r="C7" s="28" t="s">
        <v>18</v>
      </c>
      <c r="D7" s="28" t="s">
        <v>21</v>
      </c>
      <c r="E7" s="29">
        <f t="shared" si="2"/>
        <v>21729.66102</v>
      </c>
      <c r="F7" s="30">
        <v>25641.0</v>
      </c>
      <c r="G7" s="30">
        <v>28490.0</v>
      </c>
      <c r="H7" s="31">
        <f t="shared" si="3"/>
        <v>30490</v>
      </c>
      <c r="I7" s="32">
        <v>4.0</v>
      </c>
      <c r="J7" s="33">
        <v>8.0</v>
      </c>
      <c r="K7" s="33">
        <v>24.0</v>
      </c>
      <c r="L7" s="34" t="str">
        <f t="shared" ref="L7:N7" si="4">I7*#REF!</f>
        <v>#REF!</v>
      </c>
      <c r="M7" s="29" t="str">
        <f t="shared" si="4"/>
        <v>#REF!</v>
      </c>
      <c r="N7" s="35" t="str">
        <f t="shared" si="4"/>
        <v>#REF!</v>
      </c>
      <c r="O7" s="6"/>
      <c r="P7" s="6"/>
      <c r="Q7" s="6"/>
      <c r="R7" s="6"/>
      <c r="S7" s="6"/>
    </row>
    <row r="8" ht="16.5" customHeight="1">
      <c r="A8" s="26" t="s">
        <v>22</v>
      </c>
      <c r="B8" s="27">
        <v>6.164004695571E12</v>
      </c>
      <c r="C8" s="28" t="s">
        <v>23</v>
      </c>
      <c r="D8" s="28" t="s">
        <v>19</v>
      </c>
      <c r="E8" s="29">
        <f t="shared" si="2"/>
        <v>10296.61017</v>
      </c>
      <c r="F8" s="30">
        <v>12150.0</v>
      </c>
      <c r="G8" s="30">
        <v>13500.0</v>
      </c>
      <c r="H8" s="31">
        <f t="shared" si="3"/>
        <v>15500</v>
      </c>
      <c r="I8" s="32">
        <v>8.0</v>
      </c>
      <c r="J8" s="33">
        <v>16.0</v>
      </c>
      <c r="K8" s="33">
        <v>40.0</v>
      </c>
      <c r="L8" s="34" t="str">
        <f t="shared" ref="L8:N8" si="5">I8*#REF!</f>
        <v>#REF!</v>
      </c>
      <c r="M8" s="29" t="str">
        <f t="shared" si="5"/>
        <v>#REF!</v>
      </c>
      <c r="N8" s="35" t="str">
        <f t="shared" si="5"/>
        <v>#REF!</v>
      </c>
      <c r="O8" s="6"/>
      <c r="P8" s="6"/>
      <c r="Q8" s="6"/>
      <c r="R8" s="6"/>
      <c r="S8" s="6"/>
    </row>
    <row r="9" ht="16.5" customHeight="1">
      <c r="A9" s="26" t="s">
        <v>24</v>
      </c>
      <c r="B9" s="27">
        <v>6.164004695519E12</v>
      </c>
      <c r="C9" s="28" t="s">
        <v>23</v>
      </c>
      <c r="D9" s="28" t="s">
        <v>25</v>
      </c>
      <c r="E9" s="29">
        <f t="shared" si="2"/>
        <v>19830.50847</v>
      </c>
      <c r="F9" s="30">
        <v>23400.0</v>
      </c>
      <c r="G9" s="30">
        <v>26000.0</v>
      </c>
      <c r="H9" s="31">
        <f t="shared" si="3"/>
        <v>28000</v>
      </c>
      <c r="I9" s="32">
        <v>4.0</v>
      </c>
      <c r="J9" s="33">
        <v>8.0</v>
      </c>
      <c r="K9" s="33">
        <v>24.0</v>
      </c>
      <c r="L9" s="34" t="str">
        <f t="shared" ref="L9:N9" si="6">I9*#REF!</f>
        <v>#REF!</v>
      </c>
      <c r="M9" s="29" t="str">
        <f t="shared" si="6"/>
        <v>#REF!</v>
      </c>
      <c r="N9" s="35" t="str">
        <f t="shared" si="6"/>
        <v>#REF!</v>
      </c>
      <c r="O9" s="6"/>
      <c r="P9" s="6"/>
      <c r="Q9" s="6"/>
      <c r="R9" s="6"/>
      <c r="S9" s="6"/>
    </row>
    <row r="10" ht="16.5" customHeight="1">
      <c r="A10" s="26" t="s">
        <v>26</v>
      </c>
      <c r="B10" s="27">
        <v>6.164004695564E12</v>
      </c>
      <c r="C10" s="28" t="s">
        <v>27</v>
      </c>
      <c r="D10" s="28" t="s">
        <v>19</v>
      </c>
      <c r="E10" s="29">
        <f t="shared" si="2"/>
        <v>10296.61017</v>
      </c>
      <c r="F10" s="30">
        <v>12150.0</v>
      </c>
      <c r="G10" s="30">
        <v>13500.0</v>
      </c>
      <c r="H10" s="31">
        <f t="shared" si="3"/>
        <v>15500</v>
      </c>
      <c r="I10" s="32">
        <v>8.0</v>
      </c>
      <c r="J10" s="33">
        <v>16.0</v>
      </c>
      <c r="K10" s="33">
        <v>40.0</v>
      </c>
      <c r="L10" s="34" t="str">
        <f t="shared" ref="L10:N10" si="7">I10*#REF!</f>
        <v>#REF!</v>
      </c>
      <c r="M10" s="29" t="str">
        <f t="shared" si="7"/>
        <v>#REF!</v>
      </c>
      <c r="N10" s="35" t="str">
        <f t="shared" si="7"/>
        <v>#REF!</v>
      </c>
      <c r="O10" s="6"/>
      <c r="P10" s="25"/>
      <c r="Q10" s="6"/>
      <c r="R10" s="6"/>
      <c r="S10" s="6"/>
    </row>
    <row r="11" ht="16.5" customHeight="1">
      <c r="A11" s="26" t="s">
        <v>28</v>
      </c>
      <c r="B11" s="27">
        <v>6.164004695502E12</v>
      </c>
      <c r="C11" s="28" t="s">
        <v>27</v>
      </c>
      <c r="D11" s="28" t="s">
        <v>25</v>
      </c>
      <c r="E11" s="29">
        <f t="shared" si="2"/>
        <v>22033.89831</v>
      </c>
      <c r="F11" s="30">
        <v>26000.0</v>
      </c>
      <c r="G11" s="30">
        <v>26000.0</v>
      </c>
      <c r="H11" s="31">
        <f t="shared" si="3"/>
        <v>28000</v>
      </c>
      <c r="I11" s="32">
        <v>4.0</v>
      </c>
      <c r="J11" s="33">
        <v>8.0</v>
      </c>
      <c r="K11" s="33">
        <v>24.0</v>
      </c>
      <c r="L11" s="34" t="str">
        <f t="shared" ref="L11:N11" si="8">I11*#REF!</f>
        <v>#REF!</v>
      </c>
      <c r="M11" s="29" t="str">
        <f t="shared" si="8"/>
        <v>#REF!</v>
      </c>
      <c r="N11" s="35" t="str">
        <f t="shared" si="8"/>
        <v>#REF!</v>
      </c>
      <c r="O11" s="6"/>
      <c r="P11" s="6"/>
      <c r="Q11" s="6"/>
      <c r="R11" s="6"/>
      <c r="S11" s="6"/>
    </row>
    <row r="12" ht="16.5" customHeight="1">
      <c r="A12" s="26" t="s">
        <v>29</v>
      </c>
      <c r="B12" s="27">
        <v>6.161115450396E12</v>
      </c>
      <c r="C12" s="28" t="s">
        <v>30</v>
      </c>
      <c r="D12" s="28" t="s">
        <v>31</v>
      </c>
      <c r="E12" s="29">
        <f t="shared" si="2"/>
        <v>10151.69492</v>
      </c>
      <c r="F12" s="30">
        <v>11979.0</v>
      </c>
      <c r="G12" s="30">
        <v>13310.0</v>
      </c>
      <c r="H12" s="31">
        <f t="shared" si="3"/>
        <v>15310</v>
      </c>
      <c r="I12" s="32">
        <v>12.0</v>
      </c>
      <c r="J12" s="33">
        <v>30.0</v>
      </c>
      <c r="K12" s="33">
        <v>60.0</v>
      </c>
      <c r="L12" s="34" t="str">
        <f t="shared" ref="L12:N12" si="9">I12*#REF!</f>
        <v>#REF!</v>
      </c>
      <c r="M12" s="29" t="str">
        <f t="shared" si="9"/>
        <v>#REF!</v>
      </c>
      <c r="N12" s="35" t="str">
        <f t="shared" si="9"/>
        <v>#REF!</v>
      </c>
      <c r="O12" s="6"/>
      <c r="P12" s="6"/>
      <c r="Q12" s="6"/>
      <c r="R12" s="6"/>
      <c r="S12" s="6"/>
    </row>
    <row r="13" ht="16.5" customHeight="1">
      <c r="A13" s="26" t="s">
        <v>32</v>
      </c>
      <c r="B13" s="27">
        <v>6.161115450402E12</v>
      </c>
      <c r="C13" s="28" t="s">
        <v>30</v>
      </c>
      <c r="D13" s="28" t="s">
        <v>33</v>
      </c>
      <c r="E13" s="29">
        <f t="shared" si="2"/>
        <v>19380.50847</v>
      </c>
      <c r="F13" s="30">
        <v>22869.0</v>
      </c>
      <c r="G13" s="30">
        <v>25410.0</v>
      </c>
      <c r="H13" s="31">
        <f t="shared" si="3"/>
        <v>27410</v>
      </c>
      <c r="I13" s="32">
        <v>6.0</v>
      </c>
      <c r="J13" s="33">
        <v>15.0</v>
      </c>
      <c r="K13" s="33">
        <v>40.0</v>
      </c>
      <c r="L13" s="34" t="str">
        <f t="shared" ref="L13:N13" si="10">I13*#REF!</f>
        <v>#REF!</v>
      </c>
      <c r="M13" s="29" t="str">
        <f t="shared" si="10"/>
        <v>#REF!</v>
      </c>
      <c r="N13" s="35" t="str">
        <f t="shared" si="10"/>
        <v>#REF!</v>
      </c>
      <c r="O13" s="6"/>
      <c r="P13" s="6"/>
      <c r="Q13" s="6"/>
      <c r="R13" s="6"/>
      <c r="S13" s="6"/>
    </row>
    <row r="14" ht="16.5" customHeight="1">
      <c r="A14" s="26" t="s">
        <v>34</v>
      </c>
      <c r="B14" s="27">
        <v>6.161115450419E12</v>
      </c>
      <c r="C14" s="28" t="s">
        <v>35</v>
      </c>
      <c r="D14" s="28" t="s">
        <v>31</v>
      </c>
      <c r="E14" s="29">
        <f t="shared" si="2"/>
        <v>10151.69492</v>
      </c>
      <c r="F14" s="30">
        <v>11979.0</v>
      </c>
      <c r="G14" s="30">
        <v>13310.0</v>
      </c>
      <c r="H14" s="31">
        <f t="shared" si="3"/>
        <v>15310</v>
      </c>
      <c r="I14" s="32">
        <v>12.0</v>
      </c>
      <c r="J14" s="33">
        <v>30.0</v>
      </c>
      <c r="K14" s="33">
        <v>60.0</v>
      </c>
      <c r="L14" s="34" t="str">
        <f t="shared" ref="L14:N14" si="11">I14*#REF!</f>
        <v>#REF!</v>
      </c>
      <c r="M14" s="29" t="str">
        <f t="shared" si="11"/>
        <v>#REF!</v>
      </c>
      <c r="N14" s="35" t="str">
        <f t="shared" si="11"/>
        <v>#REF!</v>
      </c>
      <c r="O14" s="6"/>
      <c r="P14" s="36"/>
      <c r="Q14" s="6"/>
      <c r="R14" s="6"/>
      <c r="S14" s="6"/>
    </row>
    <row r="15" ht="16.5" customHeight="1">
      <c r="A15" s="26" t="s">
        <v>36</v>
      </c>
      <c r="B15" s="27">
        <v>6.161115450426E12</v>
      </c>
      <c r="C15" s="28" t="s">
        <v>35</v>
      </c>
      <c r="D15" s="28" t="s">
        <v>33</v>
      </c>
      <c r="E15" s="29">
        <f t="shared" si="2"/>
        <v>19380.50847</v>
      </c>
      <c r="F15" s="30">
        <v>22869.0</v>
      </c>
      <c r="G15" s="30">
        <v>25410.0</v>
      </c>
      <c r="H15" s="31">
        <f t="shared" si="3"/>
        <v>27410</v>
      </c>
      <c r="I15" s="32">
        <v>6.0</v>
      </c>
      <c r="J15" s="33">
        <v>15.0</v>
      </c>
      <c r="K15" s="33">
        <v>40.0</v>
      </c>
      <c r="L15" s="34" t="str">
        <f t="shared" ref="L15:N15" si="12">I15*#REF!</f>
        <v>#REF!</v>
      </c>
      <c r="M15" s="29" t="str">
        <f t="shared" si="12"/>
        <v>#REF!</v>
      </c>
      <c r="N15" s="35" t="str">
        <f t="shared" si="12"/>
        <v>#REF!</v>
      </c>
      <c r="O15" s="6"/>
      <c r="P15" s="6"/>
      <c r="Q15" s="6"/>
      <c r="R15" s="6"/>
      <c r="S15" s="6"/>
    </row>
    <row r="16" ht="16.5" customHeight="1">
      <c r="A16" s="26" t="s">
        <v>37</v>
      </c>
      <c r="B16" s="27">
        <v>6.161115450433E12</v>
      </c>
      <c r="C16" s="28" t="s">
        <v>38</v>
      </c>
      <c r="D16" s="28" t="s">
        <v>31</v>
      </c>
      <c r="E16" s="29">
        <f t="shared" si="2"/>
        <v>10151.69492</v>
      </c>
      <c r="F16" s="30">
        <v>11979.0</v>
      </c>
      <c r="G16" s="30">
        <v>13310.0</v>
      </c>
      <c r="H16" s="31">
        <f t="shared" si="3"/>
        <v>15310</v>
      </c>
      <c r="I16" s="32">
        <v>12.0</v>
      </c>
      <c r="J16" s="33">
        <v>30.0</v>
      </c>
      <c r="K16" s="33">
        <v>60.0</v>
      </c>
      <c r="L16" s="34" t="str">
        <f t="shared" ref="L16:N16" si="13">I16*#REF!</f>
        <v>#REF!</v>
      </c>
      <c r="M16" s="29" t="str">
        <f t="shared" si="13"/>
        <v>#REF!</v>
      </c>
      <c r="N16" s="35" t="str">
        <f t="shared" si="13"/>
        <v>#REF!</v>
      </c>
      <c r="O16" s="6"/>
      <c r="P16" s="36"/>
      <c r="Q16" s="6"/>
      <c r="R16" s="6"/>
      <c r="S16" s="6"/>
    </row>
    <row r="17" ht="16.5" customHeight="1">
      <c r="A17" s="26" t="s">
        <v>39</v>
      </c>
      <c r="B17" s="27">
        <v>6.16111545044E12</v>
      </c>
      <c r="C17" s="28" t="s">
        <v>38</v>
      </c>
      <c r="D17" s="28" t="s">
        <v>33</v>
      </c>
      <c r="E17" s="29">
        <f t="shared" si="2"/>
        <v>19380.50847</v>
      </c>
      <c r="F17" s="30">
        <v>22869.0</v>
      </c>
      <c r="G17" s="30">
        <v>25410.0</v>
      </c>
      <c r="H17" s="31">
        <f t="shared" si="3"/>
        <v>27410</v>
      </c>
      <c r="I17" s="32">
        <v>6.0</v>
      </c>
      <c r="J17" s="33">
        <v>15.0</v>
      </c>
      <c r="K17" s="33">
        <v>40.0</v>
      </c>
      <c r="L17" s="34" t="str">
        <f t="shared" ref="L17:N17" si="14">I17*#REF!</f>
        <v>#REF!</v>
      </c>
      <c r="M17" s="29" t="str">
        <f t="shared" si="14"/>
        <v>#REF!</v>
      </c>
      <c r="N17" s="35" t="str">
        <f t="shared" si="14"/>
        <v>#REF!</v>
      </c>
      <c r="O17" s="6"/>
      <c r="P17" s="36"/>
      <c r="Q17" s="6"/>
      <c r="R17" s="6"/>
      <c r="S17" s="6"/>
    </row>
    <row r="18" ht="16.5" customHeight="1">
      <c r="A18" s="26" t="s">
        <v>40</v>
      </c>
      <c r="B18" s="27">
        <v>6.164004695588E12</v>
      </c>
      <c r="C18" s="28" t="s">
        <v>41</v>
      </c>
      <c r="D18" s="28" t="s">
        <v>19</v>
      </c>
      <c r="E18" s="29">
        <f t="shared" si="2"/>
        <v>12920.33898</v>
      </c>
      <c r="F18" s="30">
        <v>15246.0</v>
      </c>
      <c r="G18" s="30">
        <v>16940.0</v>
      </c>
      <c r="H18" s="31">
        <f t="shared" si="3"/>
        <v>18940</v>
      </c>
      <c r="I18" s="32">
        <v>10.0</v>
      </c>
      <c r="J18" s="33">
        <v>20.0</v>
      </c>
      <c r="K18" s="33">
        <v>45.0</v>
      </c>
      <c r="L18" s="34" t="str">
        <f t="shared" ref="L18:N18" si="15">I18*#REF!</f>
        <v>#REF!</v>
      </c>
      <c r="M18" s="29" t="str">
        <f t="shared" si="15"/>
        <v>#REF!</v>
      </c>
      <c r="N18" s="35" t="str">
        <f t="shared" si="15"/>
        <v>#REF!</v>
      </c>
      <c r="O18" s="6"/>
      <c r="P18" s="6"/>
      <c r="Q18" s="6"/>
      <c r="R18" s="6"/>
      <c r="S18" s="6"/>
    </row>
    <row r="19" ht="16.5" customHeight="1">
      <c r="A19" s="26" t="s">
        <v>42</v>
      </c>
      <c r="B19" s="27">
        <v>6.164004695458E12</v>
      </c>
      <c r="C19" s="28" t="s">
        <v>41</v>
      </c>
      <c r="D19" s="28" t="s">
        <v>25</v>
      </c>
      <c r="E19" s="29">
        <f t="shared" si="2"/>
        <v>24498.30508</v>
      </c>
      <c r="F19" s="30">
        <v>28908.0</v>
      </c>
      <c r="G19" s="30">
        <v>32120.0</v>
      </c>
      <c r="H19" s="31">
        <f t="shared" si="3"/>
        <v>34120</v>
      </c>
      <c r="I19" s="32">
        <v>4.0</v>
      </c>
      <c r="J19" s="33">
        <v>10.0</v>
      </c>
      <c r="K19" s="33">
        <v>25.0</v>
      </c>
      <c r="L19" s="34" t="str">
        <f t="shared" ref="L19:N19" si="16">I19*#REF!</f>
        <v>#REF!</v>
      </c>
      <c r="M19" s="29" t="str">
        <f t="shared" si="16"/>
        <v>#REF!</v>
      </c>
      <c r="N19" s="35" t="str">
        <f t="shared" si="16"/>
        <v>#REF!</v>
      </c>
      <c r="O19" s="6"/>
      <c r="P19" s="6"/>
      <c r="Q19" s="6"/>
      <c r="R19" s="6"/>
      <c r="S19" s="6"/>
    </row>
    <row r="20" ht="16.5" customHeight="1">
      <c r="A20" s="26" t="s">
        <v>43</v>
      </c>
      <c r="B20" s="27">
        <v>6.164004695465E12</v>
      </c>
      <c r="C20" s="28" t="s">
        <v>44</v>
      </c>
      <c r="D20" s="28" t="s">
        <v>19</v>
      </c>
      <c r="E20" s="29">
        <f t="shared" si="2"/>
        <v>12920.33898</v>
      </c>
      <c r="F20" s="30">
        <v>15246.0</v>
      </c>
      <c r="G20" s="30">
        <v>16940.0</v>
      </c>
      <c r="H20" s="31">
        <f t="shared" si="3"/>
        <v>18940</v>
      </c>
      <c r="I20" s="32">
        <v>8.0</v>
      </c>
      <c r="J20" s="33">
        <v>20.0</v>
      </c>
      <c r="K20" s="33">
        <v>45.0</v>
      </c>
      <c r="L20" s="34" t="str">
        <f t="shared" ref="L20:N20" si="17">I20*#REF!</f>
        <v>#REF!</v>
      </c>
      <c r="M20" s="29" t="str">
        <f t="shared" si="17"/>
        <v>#REF!</v>
      </c>
      <c r="N20" s="35" t="str">
        <f t="shared" si="17"/>
        <v>#REF!</v>
      </c>
      <c r="O20" s="6"/>
      <c r="P20" s="6"/>
      <c r="Q20" s="6"/>
      <c r="R20" s="6"/>
      <c r="S20" s="6"/>
    </row>
    <row r="21" ht="16.5" customHeight="1">
      <c r="A21" s="26" t="s">
        <v>45</v>
      </c>
      <c r="B21" s="27">
        <v>6.164004695595E12</v>
      </c>
      <c r="C21" s="28" t="s">
        <v>44</v>
      </c>
      <c r="D21" s="28" t="s">
        <v>21</v>
      </c>
      <c r="E21" s="29">
        <f t="shared" si="2"/>
        <v>24498.30508</v>
      </c>
      <c r="F21" s="30">
        <v>28908.0</v>
      </c>
      <c r="G21" s="30">
        <v>32120.0</v>
      </c>
      <c r="H21" s="31">
        <f t="shared" si="3"/>
        <v>34120</v>
      </c>
      <c r="I21" s="32">
        <v>6.0</v>
      </c>
      <c r="J21" s="33">
        <v>10.0</v>
      </c>
      <c r="K21" s="33">
        <v>25.0</v>
      </c>
      <c r="L21" s="34" t="str">
        <f t="shared" ref="L21:N21" si="18">I21*#REF!</f>
        <v>#REF!</v>
      </c>
      <c r="M21" s="29" t="str">
        <f t="shared" si="18"/>
        <v>#REF!</v>
      </c>
      <c r="N21" s="35" t="str">
        <f t="shared" si="18"/>
        <v>#REF!</v>
      </c>
      <c r="O21" s="6"/>
      <c r="P21" s="6"/>
      <c r="Q21" s="6"/>
      <c r="R21" s="6"/>
      <c r="S21" s="6"/>
    </row>
    <row r="22" ht="16.5" customHeight="1">
      <c r="A22" s="26" t="s">
        <v>46</v>
      </c>
      <c r="B22" s="27">
        <v>6.164004695632E12</v>
      </c>
      <c r="C22" s="28" t="s">
        <v>47</v>
      </c>
      <c r="D22" s="28" t="s">
        <v>19</v>
      </c>
      <c r="E22" s="29">
        <f t="shared" si="2"/>
        <v>12920.33898</v>
      </c>
      <c r="F22" s="30">
        <v>15246.0</v>
      </c>
      <c r="G22" s="30">
        <v>16940.0</v>
      </c>
      <c r="H22" s="31">
        <f t="shared" si="3"/>
        <v>18940</v>
      </c>
      <c r="I22" s="32">
        <v>8.0</v>
      </c>
      <c r="J22" s="33">
        <v>20.0</v>
      </c>
      <c r="K22" s="33">
        <v>45.0</v>
      </c>
      <c r="L22" s="34" t="str">
        <f t="shared" ref="L22:N22" si="19">I22*#REF!</f>
        <v>#REF!</v>
      </c>
      <c r="M22" s="29" t="str">
        <f t="shared" si="19"/>
        <v>#REF!</v>
      </c>
      <c r="N22" s="35" t="str">
        <f t="shared" si="19"/>
        <v>#REF!</v>
      </c>
      <c r="O22" s="6"/>
      <c r="P22" s="6"/>
      <c r="Q22" s="6"/>
      <c r="R22" s="6"/>
      <c r="S22" s="6"/>
    </row>
    <row r="23" ht="16.5" customHeight="1">
      <c r="A23" s="26" t="s">
        <v>48</v>
      </c>
      <c r="B23" s="27">
        <v>6.164004695649E12</v>
      </c>
      <c r="C23" s="28" t="s">
        <v>47</v>
      </c>
      <c r="D23" s="28" t="s">
        <v>25</v>
      </c>
      <c r="E23" s="29">
        <f t="shared" si="2"/>
        <v>24498.30508</v>
      </c>
      <c r="F23" s="30">
        <v>28908.0</v>
      </c>
      <c r="G23" s="30">
        <v>32120.0</v>
      </c>
      <c r="H23" s="31">
        <f t="shared" si="3"/>
        <v>34120</v>
      </c>
      <c r="I23" s="32">
        <v>6.0</v>
      </c>
      <c r="J23" s="33">
        <v>10.0</v>
      </c>
      <c r="K23" s="33">
        <v>25.0</v>
      </c>
      <c r="L23" s="34" t="str">
        <f t="shared" ref="L23:N23" si="20">I23*#REF!</f>
        <v>#REF!</v>
      </c>
      <c r="M23" s="29" t="str">
        <f t="shared" si="20"/>
        <v>#REF!</v>
      </c>
      <c r="N23" s="35" t="str">
        <f t="shared" si="20"/>
        <v>#REF!</v>
      </c>
      <c r="O23" s="6"/>
      <c r="P23" s="6"/>
      <c r="Q23" s="6"/>
      <c r="R23" s="6"/>
      <c r="S23" s="6"/>
    </row>
    <row r="24" ht="16.5" customHeight="1">
      <c r="A24" s="26" t="s">
        <v>49</v>
      </c>
      <c r="B24" s="27">
        <v>6.164004695472E12</v>
      </c>
      <c r="C24" s="28" t="s">
        <v>50</v>
      </c>
      <c r="D24" s="28" t="s">
        <v>19</v>
      </c>
      <c r="E24" s="29">
        <f t="shared" si="2"/>
        <v>12920.33898</v>
      </c>
      <c r="F24" s="30">
        <v>15246.0</v>
      </c>
      <c r="G24" s="30">
        <v>16940.0</v>
      </c>
      <c r="H24" s="31">
        <f t="shared" si="3"/>
        <v>18940</v>
      </c>
      <c r="I24" s="32">
        <v>8.0</v>
      </c>
      <c r="J24" s="33">
        <v>16.0</v>
      </c>
      <c r="K24" s="33">
        <v>40.0</v>
      </c>
      <c r="L24" s="34" t="str">
        <f t="shared" ref="L24:N24" si="21">I24*#REF!</f>
        <v>#REF!</v>
      </c>
      <c r="M24" s="29" t="str">
        <f t="shared" si="21"/>
        <v>#REF!</v>
      </c>
      <c r="N24" s="35" t="str">
        <f t="shared" si="21"/>
        <v>#REF!</v>
      </c>
      <c r="O24" s="6"/>
      <c r="P24" s="6"/>
      <c r="Q24" s="6"/>
      <c r="R24" s="6"/>
      <c r="S24" s="6"/>
    </row>
    <row r="25" ht="16.5" customHeight="1">
      <c r="A25" s="26" t="s">
        <v>51</v>
      </c>
      <c r="B25" s="27">
        <v>6.164004695687E12</v>
      </c>
      <c r="C25" s="28" t="s">
        <v>50</v>
      </c>
      <c r="D25" s="28" t="s">
        <v>25</v>
      </c>
      <c r="E25" s="29">
        <f t="shared" si="2"/>
        <v>24498.30508</v>
      </c>
      <c r="F25" s="30">
        <v>28908.0</v>
      </c>
      <c r="G25" s="30">
        <v>32120.0</v>
      </c>
      <c r="H25" s="31">
        <f t="shared" si="3"/>
        <v>34120</v>
      </c>
      <c r="I25" s="32">
        <v>6.0</v>
      </c>
      <c r="J25" s="33">
        <v>12.0</v>
      </c>
      <c r="K25" s="33">
        <v>24.0</v>
      </c>
      <c r="L25" s="34" t="str">
        <f t="shared" ref="L25:N25" si="22">I25*#REF!</f>
        <v>#REF!</v>
      </c>
      <c r="M25" s="29" t="str">
        <f t="shared" si="22"/>
        <v>#REF!</v>
      </c>
      <c r="N25" s="35" t="str">
        <f t="shared" si="22"/>
        <v>#REF!</v>
      </c>
      <c r="O25" s="6"/>
      <c r="P25" s="6"/>
      <c r="Q25" s="6"/>
      <c r="R25" s="6"/>
      <c r="S25" s="6"/>
    </row>
    <row r="26" ht="16.5" customHeight="1">
      <c r="A26" s="26" t="s">
        <v>52</v>
      </c>
      <c r="B26" s="27">
        <v>6.161115450389E12</v>
      </c>
      <c r="C26" s="28" t="s">
        <v>53</v>
      </c>
      <c r="D26" s="28" t="s">
        <v>54</v>
      </c>
      <c r="E26" s="29">
        <f t="shared" si="2"/>
        <v>8305.932203</v>
      </c>
      <c r="F26" s="30">
        <v>9801.0</v>
      </c>
      <c r="G26" s="30">
        <v>10890.0</v>
      </c>
      <c r="H26" s="31">
        <f t="shared" si="3"/>
        <v>12890</v>
      </c>
      <c r="I26" s="32">
        <v>15.0</v>
      </c>
      <c r="J26" s="33">
        <v>30.0</v>
      </c>
      <c r="K26" s="33"/>
      <c r="L26" s="34" t="str">
        <f t="shared" ref="L26:N26" si="23">I26*#REF!</f>
        <v>#REF!</v>
      </c>
      <c r="M26" s="29" t="str">
        <f t="shared" si="23"/>
        <v>#REF!</v>
      </c>
      <c r="N26" s="35" t="str">
        <f t="shared" si="23"/>
        <v>#REF!</v>
      </c>
      <c r="O26" s="6"/>
      <c r="P26" s="6"/>
      <c r="Q26" s="6"/>
      <c r="R26" s="6"/>
      <c r="S26" s="6"/>
    </row>
    <row r="27" ht="16.5" customHeight="1">
      <c r="A27" s="26" t="s">
        <v>55</v>
      </c>
      <c r="B27" s="27">
        <v>6.161115450181E12</v>
      </c>
      <c r="C27" s="28" t="s">
        <v>56</v>
      </c>
      <c r="D27" s="28" t="s">
        <v>54</v>
      </c>
      <c r="E27" s="29">
        <f t="shared" si="2"/>
        <v>8305.932203</v>
      </c>
      <c r="F27" s="30">
        <v>9801.0</v>
      </c>
      <c r="G27" s="30">
        <v>10890.0</v>
      </c>
      <c r="H27" s="31">
        <f t="shared" si="3"/>
        <v>12890</v>
      </c>
      <c r="I27" s="32">
        <v>15.0</v>
      </c>
      <c r="J27" s="33">
        <v>30.0</v>
      </c>
      <c r="K27" s="33"/>
      <c r="L27" s="34" t="str">
        <f t="shared" ref="L27:N27" si="24">I27*#REF!</f>
        <v>#REF!</v>
      </c>
      <c r="M27" s="29" t="str">
        <f t="shared" si="24"/>
        <v>#REF!</v>
      </c>
      <c r="N27" s="35" t="str">
        <f t="shared" si="24"/>
        <v>#REF!</v>
      </c>
      <c r="O27" s="6"/>
      <c r="P27" s="6"/>
      <c r="Q27" s="6"/>
      <c r="R27" s="6"/>
      <c r="S27" s="6"/>
    </row>
    <row r="28" ht="16.5" customHeight="1">
      <c r="A28" s="26" t="s">
        <v>57</v>
      </c>
      <c r="B28" s="27">
        <v>6.161115450792E12</v>
      </c>
      <c r="C28" s="28" t="s">
        <v>58</v>
      </c>
      <c r="D28" s="28" t="s">
        <v>59</v>
      </c>
      <c r="E28" s="29">
        <f t="shared" si="2"/>
        <v>6963.559322</v>
      </c>
      <c r="F28" s="30">
        <v>8217.0</v>
      </c>
      <c r="G28" s="30">
        <v>9130.0</v>
      </c>
      <c r="H28" s="31">
        <f t="shared" si="3"/>
        <v>11130</v>
      </c>
      <c r="I28" s="32">
        <v>8.0</v>
      </c>
      <c r="J28" s="33">
        <v>16.0</v>
      </c>
      <c r="K28" s="33">
        <v>60.0</v>
      </c>
      <c r="L28" s="34" t="str">
        <f t="shared" ref="L28:N28" si="25">I28*#REF!</f>
        <v>#REF!</v>
      </c>
      <c r="M28" s="29" t="str">
        <f t="shared" si="25"/>
        <v>#REF!</v>
      </c>
      <c r="N28" s="35" t="str">
        <f t="shared" si="25"/>
        <v>#REF!</v>
      </c>
      <c r="O28" s="6"/>
      <c r="P28" s="6"/>
      <c r="Q28" s="6"/>
      <c r="R28" s="6"/>
      <c r="S28" s="6"/>
    </row>
    <row r="29" ht="16.5" customHeight="1">
      <c r="A29" s="26" t="s">
        <v>60</v>
      </c>
      <c r="B29" s="27">
        <v>6.161115450808E12</v>
      </c>
      <c r="C29" s="28" t="s">
        <v>58</v>
      </c>
      <c r="D29" s="28" t="s">
        <v>25</v>
      </c>
      <c r="E29" s="29">
        <f t="shared" si="2"/>
        <v>8640.677966</v>
      </c>
      <c r="F29" s="30">
        <v>10196.0</v>
      </c>
      <c r="G29" s="30">
        <v>22440.0</v>
      </c>
      <c r="H29" s="31">
        <f t="shared" si="3"/>
        <v>24440</v>
      </c>
      <c r="I29" s="32">
        <v>6.0</v>
      </c>
      <c r="J29" s="33">
        <v>12.0</v>
      </c>
      <c r="K29" s="33">
        <v>24.0</v>
      </c>
      <c r="L29" s="34" t="str">
        <f t="shared" ref="L29:N29" si="26">I29*#REF!</f>
        <v>#REF!</v>
      </c>
      <c r="M29" s="29" t="str">
        <f t="shared" si="26"/>
        <v>#REF!</v>
      </c>
      <c r="N29" s="35" t="str">
        <f t="shared" si="26"/>
        <v>#REF!</v>
      </c>
      <c r="O29" s="6"/>
      <c r="P29" s="6"/>
      <c r="Q29" s="6"/>
      <c r="R29" s="6"/>
      <c r="S29" s="6"/>
    </row>
    <row r="30" ht="16.5" customHeight="1">
      <c r="A30" s="26" t="s">
        <v>61</v>
      </c>
      <c r="B30" s="27">
        <v>6.161115450792E12</v>
      </c>
      <c r="C30" s="28" t="s">
        <v>62</v>
      </c>
      <c r="D30" s="28" t="s">
        <v>59</v>
      </c>
      <c r="E30" s="29">
        <f t="shared" si="2"/>
        <v>6963.559322</v>
      </c>
      <c r="F30" s="30">
        <v>8217.0</v>
      </c>
      <c r="G30" s="30">
        <v>9130.0</v>
      </c>
      <c r="H30" s="31">
        <f t="shared" si="3"/>
        <v>11130</v>
      </c>
      <c r="I30" s="32">
        <v>8.0</v>
      </c>
      <c r="J30" s="33">
        <v>16.0</v>
      </c>
      <c r="K30" s="33">
        <v>40.0</v>
      </c>
      <c r="L30" s="34" t="str">
        <f t="shared" ref="L30:N30" si="27">I30*#REF!</f>
        <v>#REF!</v>
      </c>
      <c r="M30" s="29" t="str">
        <f t="shared" si="27"/>
        <v>#REF!</v>
      </c>
      <c r="N30" s="35" t="str">
        <f t="shared" si="27"/>
        <v>#REF!</v>
      </c>
      <c r="O30" s="6"/>
      <c r="P30" s="6"/>
      <c r="Q30" s="6"/>
      <c r="R30" s="6"/>
      <c r="S30" s="6"/>
    </row>
    <row r="31" ht="16.5" customHeight="1">
      <c r="A31" s="26" t="s">
        <v>63</v>
      </c>
      <c r="B31" s="27">
        <v>6.161115450839E12</v>
      </c>
      <c r="C31" s="28" t="s">
        <v>62</v>
      </c>
      <c r="D31" s="28" t="s">
        <v>25</v>
      </c>
      <c r="E31" s="29">
        <f t="shared" si="2"/>
        <v>8640.677966</v>
      </c>
      <c r="F31" s="30">
        <v>10196.0</v>
      </c>
      <c r="G31" s="30">
        <v>22440.0</v>
      </c>
      <c r="H31" s="31">
        <f t="shared" si="3"/>
        <v>24440</v>
      </c>
      <c r="I31" s="32">
        <v>6.0</v>
      </c>
      <c r="J31" s="33">
        <v>12.0</v>
      </c>
      <c r="K31" s="33">
        <v>24.0</v>
      </c>
      <c r="L31" s="34" t="str">
        <f t="shared" ref="L31:N31" si="28">I31*#REF!</f>
        <v>#REF!</v>
      </c>
      <c r="M31" s="29" t="str">
        <f t="shared" si="28"/>
        <v>#REF!</v>
      </c>
      <c r="N31" s="35" t="str">
        <f t="shared" si="28"/>
        <v>#REF!</v>
      </c>
      <c r="O31" s="6"/>
      <c r="P31" s="6"/>
      <c r="Q31" s="6"/>
      <c r="R31" s="6"/>
      <c r="S31" s="6"/>
    </row>
    <row r="32" ht="16.5" customHeight="1">
      <c r="A32" s="26" t="s">
        <v>64</v>
      </c>
      <c r="B32" s="27">
        <v>6.164004695557E12</v>
      </c>
      <c r="C32" s="28" t="s">
        <v>65</v>
      </c>
      <c r="D32" s="28" t="s">
        <v>19</v>
      </c>
      <c r="E32" s="29">
        <f t="shared" si="2"/>
        <v>10151.69492</v>
      </c>
      <c r="F32" s="30">
        <v>11979.0</v>
      </c>
      <c r="G32" s="30">
        <v>13310.0</v>
      </c>
      <c r="H32" s="31">
        <f t="shared" si="3"/>
        <v>15310</v>
      </c>
      <c r="I32" s="32">
        <v>8.0</v>
      </c>
      <c r="J32" s="33">
        <v>16.0</v>
      </c>
      <c r="K32" s="33">
        <v>24.0</v>
      </c>
      <c r="L32" s="34" t="str">
        <f t="shared" ref="L32:N32" si="29">I32*#REF!</f>
        <v>#REF!</v>
      </c>
      <c r="M32" s="29" t="str">
        <f t="shared" si="29"/>
        <v>#REF!</v>
      </c>
      <c r="N32" s="35" t="str">
        <f t="shared" si="29"/>
        <v>#REF!</v>
      </c>
      <c r="O32" s="6"/>
      <c r="P32" s="6"/>
      <c r="Q32" s="6"/>
      <c r="R32" s="6"/>
      <c r="S32" s="6"/>
    </row>
    <row r="33" ht="16.5" customHeight="1">
      <c r="A33" s="26" t="s">
        <v>66</v>
      </c>
      <c r="B33" s="27">
        <v>6.161115451126E12</v>
      </c>
      <c r="C33" s="28" t="s">
        <v>67</v>
      </c>
      <c r="D33" s="28" t="s">
        <v>68</v>
      </c>
      <c r="E33" s="29">
        <f t="shared" si="2"/>
        <v>8725.423729</v>
      </c>
      <c r="F33" s="30">
        <v>10296.0</v>
      </c>
      <c r="G33" s="30">
        <v>11440.0</v>
      </c>
      <c r="H33" s="31">
        <f t="shared" si="3"/>
        <v>13440</v>
      </c>
      <c r="I33" s="32">
        <v>8.0</v>
      </c>
      <c r="J33" s="33">
        <v>16.0</v>
      </c>
      <c r="K33" s="33">
        <v>24.0</v>
      </c>
      <c r="L33" s="34"/>
      <c r="M33" s="29"/>
      <c r="N33" s="35"/>
      <c r="O33" s="6"/>
      <c r="P33" s="6"/>
      <c r="Q33" s="6"/>
      <c r="R33" s="6"/>
      <c r="S33" s="6"/>
    </row>
    <row r="34" ht="16.5" customHeight="1">
      <c r="A34" s="26" t="s">
        <v>69</v>
      </c>
      <c r="B34" s="27">
        <v>6.161115451119E12</v>
      </c>
      <c r="C34" s="28" t="s">
        <v>65</v>
      </c>
      <c r="D34" s="28" t="s">
        <v>68</v>
      </c>
      <c r="E34" s="29">
        <f t="shared" si="2"/>
        <v>8725.423729</v>
      </c>
      <c r="F34" s="30">
        <v>10296.0</v>
      </c>
      <c r="G34" s="30">
        <v>11440.0</v>
      </c>
      <c r="H34" s="31">
        <f t="shared" si="3"/>
        <v>13440</v>
      </c>
      <c r="I34" s="32">
        <v>10.0</v>
      </c>
      <c r="J34" s="33">
        <v>20.0</v>
      </c>
      <c r="K34" s="33">
        <v>45.0</v>
      </c>
      <c r="L34" s="34"/>
      <c r="M34" s="29"/>
      <c r="N34" s="35"/>
      <c r="O34" s="6"/>
      <c r="P34" s="6"/>
      <c r="Q34" s="6"/>
      <c r="R34" s="6"/>
      <c r="S34" s="6"/>
    </row>
    <row r="35" ht="16.5" customHeight="1">
      <c r="A35" s="26" t="s">
        <v>70</v>
      </c>
      <c r="B35" s="27">
        <v>6.161115451935E12</v>
      </c>
      <c r="C35" s="28" t="s">
        <v>71</v>
      </c>
      <c r="D35" s="28" t="s">
        <v>72</v>
      </c>
      <c r="E35" s="29">
        <f t="shared" si="2"/>
        <v>18457.62712</v>
      </c>
      <c r="F35" s="30">
        <v>21780.0</v>
      </c>
      <c r="G35" s="30">
        <v>24200.0</v>
      </c>
      <c r="H35" s="31">
        <f t="shared" si="3"/>
        <v>26200</v>
      </c>
      <c r="I35" s="32">
        <v>4.0</v>
      </c>
      <c r="J35" s="32">
        <v>8.0</v>
      </c>
      <c r="K35" s="32">
        <v>24.0</v>
      </c>
      <c r="L35" s="37"/>
      <c r="M35" s="38">
        <v>12.0</v>
      </c>
      <c r="N35" s="6"/>
      <c r="O35" s="6"/>
      <c r="P35" s="6"/>
      <c r="Q35" s="6"/>
      <c r="R35" s="6"/>
      <c r="S35" s="6"/>
    </row>
    <row r="36" ht="16.5" customHeight="1">
      <c r="A36" s="26" t="s">
        <v>73</v>
      </c>
      <c r="B36" s="27">
        <v>6.161115451942E12</v>
      </c>
      <c r="C36" s="28" t="s">
        <v>74</v>
      </c>
      <c r="D36" s="28" t="s">
        <v>72</v>
      </c>
      <c r="E36" s="29">
        <f t="shared" si="2"/>
        <v>21981.35593</v>
      </c>
      <c r="F36" s="30">
        <v>25938.0</v>
      </c>
      <c r="G36" s="30">
        <v>28820.0</v>
      </c>
      <c r="H36" s="31">
        <f t="shared" si="3"/>
        <v>30820</v>
      </c>
      <c r="I36" s="32">
        <v>4.0</v>
      </c>
      <c r="J36" s="32">
        <v>8.0</v>
      </c>
      <c r="K36" s="32">
        <v>24.0</v>
      </c>
      <c r="L36" s="37"/>
      <c r="M36" s="38">
        <v>12.0</v>
      </c>
      <c r="N36" s="6"/>
      <c r="O36" s="6"/>
      <c r="P36" s="6"/>
      <c r="Q36" s="6"/>
      <c r="R36" s="6"/>
      <c r="S36" s="6"/>
    </row>
    <row r="37" ht="16.5" customHeight="1">
      <c r="A37" s="26" t="s">
        <v>75</v>
      </c>
      <c r="B37" s="27">
        <v>6.161115451959E12</v>
      </c>
      <c r="C37" s="28" t="s">
        <v>76</v>
      </c>
      <c r="D37" s="28" t="s">
        <v>72</v>
      </c>
      <c r="E37" s="29">
        <f t="shared" si="2"/>
        <v>19044.91525</v>
      </c>
      <c r="F37" s="30">
        <v>22473.0</v>
      </c>
      <c r="G37" s="30">
        <v>24970.0</v>
      </c>
      <c r="H37" s="31">
        <f t="shared" si="3"/>
        <v>26970</v>
      </c>
      <c r="I37" s="32">
        <v>4.0</v>
      </c>
      <c r="J37" s="32">
        <v>8.0</v>
      </c>
      <c r="K37" s="32">
        <v>24.0</v>
      </c>
      <c r="L37" s="37"/>
      <c r="M37" s="38">
        <v>12.0</v>
      </c>
      <c r="N37" s="6"/>
      <c r="O37" s="6"/>
      <c r="P37" s="6"/>
      <c r="Q37" s="6"/>
      <c r="R37" s="6"/>
      <c r="S37" s="6"/>
    </row>
    <row r="38" ht="25.5" customHeight="1">
      <c r="A38" s="39"/>
      <c r="B38" s="22"/>
      <c r="C38" s="17" t="s">
        <v>77</v>
      </c>
      <c r="D38" s="18" t="s">
        <v>8</v>
      </c>
      <c r="E38" s="14" t="s">
        <v>78</v>
      </c>
      <c r="F38" s="24"/>
      <c r="G38" s="24"/>
      <c r="H38" s="24"/>
      <c r="I38" s="40" t="s">
        <v>13</v>
      </c>
      <c r="J38" s="40" t="s">
        <v>14</v>
      </c>
      <c r="K38" s="40" t="s">
        <v>15</v>
      </c>
      <c r="L38" s="40" t="s">
        <v>13</v>
      </c>
      <c r="M38" s="14" t="s">
        <v>14</v>
      </c>
      <c r="N38" s="41" t="s">
        <v>15</v>
      </c>
      <c r="O38" s="6"/>
      <c r="P38" s="6"/>
      <c r="Q38" s="6"/>
      <c r="R38" s="6"/>
      <c r="S38" s="6"/>
    </row>
    <row r="39" ht="16.5" customHeight="1">
      <c r="A39" s="26" t="s">
        <v>79</v>
      </c>
      <c r="B39" s="27">
        <v>6.164004695748E12</v>
      </c>
      <c r="C39" s="28" t="s">
        <v>80</v>
      </c>
      <c r="D39" s="28" t="s">
        <v>81</v>
      </c>
      <c r="E39" s="42">
        <f t="shared" ref="E39:E48" si="31">F39/1.18</f>
        <v>22149.15254</v>
      </c>
      <c r="F39" s="43">
        <v>26136.0</v>
      </c>
      <c r="G39" s="30">
        <v>29040.0</v>
      </c>
      <c r="H39" s="31">
        <f t="shared" ref="H39:H48" si="32">G39+2000</f>
        <v>31040</v>
      </c>
      <c r="I39" s="32">
        <v>4.0</v>
      </c>
      <c r="J39" s="33">
        <v>8.0</v>
      </c>
      <c r="K39" s="33">
        <v>24.0</v>
      </c>
      <c r="L39" s="44" t="str">
        <f t="shared" ref="L39:N39" si="30">I39*#REF!</f>
        <v>#REF!</v>
      </c>
      <c r="M39" s="42" t="str">
        <f t="shared" si="30"/>
        <v>#REF!</v>
      </c>
      <c r="N39" s="45" t="str">
        <f t="shared" si="30"/>
        <v>#REF!</v>
      </c>
      <c r="O39" s="6"/>
      <c r="P39" s="6"/>
      <c r="Q39" s="6"/>
      <c r="R39" s="6"/>
      <c r="S39" s="6"/>
    </row>
    <row r="40" ht="16.5" customHeight="1">
      <c r="A40" s="26" t="s">
        <v>82</v>
      </c>
      <c r="B40" s="27">
        <v>6.164004695717E12</v>
      </c>
      <c r="C40" s="28" t="s">
        <v>80</v>
      </c>
      <c r="D40" s="28" t="s">
        <v>83</v>
      </c>
      <c r="E40" s="42">
        <f t="shared" si="31"/>
        <v>11577.9661</v>
      </c>
      <c r="F40" s="43">
        <v>13662.0</v>
      </c>
      <c r="G40" s="30">
        <v>15180.0</v>
      </c>
      <c r="H40" s="31">
        <f t="shared" si="32"/>
        <v>17180</v>
      </c>
      <c r="I40" s="32">
        <v>8.0</v>
      </c>
      <c r="J40" s="33">
        <v>20.0</v>
      </c>
      <c r="K40" s="33">
        <v>40.0</v>
      </c>
      <c r="L40" s="44" t="str">
        <f t="shared" ref="L40:N40" si="33">I40*#REF!</f>
        <v>#REF!</v>
      </c>
      <c r="M40" s="42" t="str">
        <f t="shared" si="33"/>
        <v>#REF!</v>
      </c>
      <c r="N40" s="45" t="str">
        <f t="shared" si="33"/>
        <v>#REF!</v>
      </c>
      <c r="O40" s="6"/>
      <c r="P40" s="6"/>
      <c r="Q40" s="6"/>
      <c r="R40" s="6"/>
      <c r="S40" s="6"/>
    </row>
    <row r="41" ht="16.5" customHeight="1">
      <c r="A41" s="26" t="s">
        <v>84</v>
      </c>
      <c r="B41" s="27">
        <v>6.164004695755E12</v>
      </c>
      <c r="C41" s="28" t="s">
        <v>85</v>
      </c>
      <c r="D41" s="28" t="s">
        <v>81</v>
      </c>
      <c r="E41" s="42">
        <f t="shared" si="31"/>
        <v>22149.15254</v>
      </c>
      <c r="F41" s="43">
        <v>26136.0</v>
      </c>
      <c r="G41" s="30">
        <v>29040.0</v>
      </c>
      <c r="H41" s="31">
        <f t="shared" si="32"/>
        <v>31040</v>
      </c>
      <c r="I41" s="32">
        <v>4.0</v>
      </c>
      <c r="J41" s="33">
        <v>8.0</v>
      </c>
      <c r="K41" s="33">
        <v>24.0</v>
      </c>
      <c r="L41" s="44" t="str">
        <f t="shared" ref="L41:N41" si="34">I41*#REF!</f>
        <v>#REF!</v>
      </c>
      <c r="M41" s="42" t="str">
        <f t="shared" si="34"/>
        <v>#REF!</v>
      </c>
      <c r="N41" s="45" t="str">
        <f t="shared" si="34"/>
        <v>#REF!</v>
      </c>
      <c r="O41" s="6"/>
      <c r="P41" s="6"/>
      <c r="Q41" s="6"/>
      <c r="R41" s="6"/>
      <c r="S41" s="6"/>
    </row>
    <row r="42" ht="16.5" customHeight="1">
      <c r="A42" s="26" t="s">
        <v>86</v>
      </c>
      <c r="B42" s="27">
        <v>6.164004695724E12</v>
      </c>
      <c r="C42" s="28" t="s">
        <v>85</v>
      </c>
      <c r="D42" s="28" t="s">
        <v>83</v>
      </c>
      <c r="E42" s="42">
        <f t="shared" si="31"/>
        <v>11577.9661</v>
      </c>
      <c r="F42" s="43">
        <v>13662.0</v>
      </c>
      <c r="G42" s="30">
        <v>15180.0</v>
      </c>
      <c r="H42" s="31">
        <f t="shared" si="32"/>
        <v>17180</v>
      </c>
      <c r="I42" s="32">
        <v>8.0</v>
      </c>
      <c r="J42" s="33">
        <v>20.0</v>
      </c>
      <c r="K42" s="33">
        <v>40.0</v>
      </c>
      <c r="L42" s="44" t="str">
        <f t="shared" ref="L42:N42" si="35">I42*#REF!</f>
        <v>#REF!</v>
      </c>
      <c r="M42" s="42" t="str">
        <f t="shared" si="35"/>
        <v>#REF!</v>
      </c>
      <c r="N42" s="45" t="str">
        <f t="shared" si="35"/>
        <v>#REF!</v>
      </c>
      <c r="O42" s="6"/>
      <c r="P42" s="6"/>
      <c r="Q42" s="6"/>
      <c r="R42" s="6"/>
      <c r="S42" s="6"/>
    </row>
    <row r="43" ht="16.5" customHeight="1">
      <c r="A43" s="26" t="s">
        <v>87</v>
      </c>
      <c r="B43" s="27">
        <v>6.164004695762E12</v>
      </c>
      <c r="C43" s="28" t="s">
        <v>88</v>
      </c>
      <c r="D43" s="28" t="s">
        <v>81</v>
      </c>
      <c r="E43" s="42">
        <f t="shared" si="31"/>
        <v>24917.79661</v>
      </c>
      <c r="F43" s="43">
        <v>29403.0</v>
      </c>
      <c r="G43" s="30">
        <v>32670.0</v>
      </c>
      <c r="H43" s="31">
        <f t="shared" si="32"/>
        <v>34670</v>
      </c>
      <c r="I43" s="32">
        <v>4.0</v>
      </c>
      <c r="J43" s="33">
        <v>8.0</v>
      </c>
      <c r="K43" s="33">
        <v>24.0</v>
      </c>
      <c r="L43" s="44" t="str">
        <f t="shared" ref="L43:N43" si="36">I43*#REF!</f>
        <v>#REF!</v>
      </c>
      <c r="M43" s="42" t="str">
        <f t="shared" si="36"/>
        <v>#REF!</v>
      </c>
      <c r="N43" s="45" t="str">
        <f t="shared" si="36"/>
        <v>#REF!</v>
      </c>
      <c r="O43" s="6"/>
      <c r="P43" s="6"/>
      <c r="Q43" s="6"/>
      <c r="R43" s="6"/>
      <c r="S43" s="6"/>
    </row>
    <row r="44" ht="16.5" customHeight="1">
      <c r="A44" s="26" t="s">
        <v>89</v>
      </c>
      <c r="B44" s="27">
        <v>6.164004695731E12</v>
      </c>
      <c r="C44" s="28" t="s">
        <v>88</v>
      </c>
      <c r="D44" s="28" t="s">
        <v>83</v>
      </c>
      <c r="E44" s="42">
        <f t="shared" si="31"/>
        <v>12920.33898</v>
      </c>
      <c r="F44" s="43">
        <v>15246.0</v>
      </c>
      <c r="G44" s="30">
        <v>16940.0</v>
      </c>
      <c r="H44" s="31">
        <f t="shared" si="32"/>
        <v>18940</v>
      </c>
      <c r="I44" s="32">
        <v>8.0</v>
      </c>
      <c r="J44" s="33">
        <v>20.0</v>
      </c>
      <c r="K44" s="33">
        <v>40.0</v>
      </c>
      <c r="L44" s="44" t="str">
        <f t="shared" ref="L44:N44" si="37">I44*#REF!</f>
        <v>#REF!</v>
      </c>
      <c r="M44" s="42" t="str">
        <f t="shared" si="37"/>
        <v>#REF!</v>
      </c>
      <c r="N44" s="45" t="str">
        <f t="shared" si="37"/>
        <v>#REF!</v>
      </c>
      <c r="O44" s="6"/>
      <c r="P44" s="6"/>
      <c r="Q44" s="6"/>
      <c r="R44" s="6"/>
      <c r="S44" s="6"/>
    </row>
    <row r="45" ht="16.5" customHeight="1">
      <c r="A45" s="26" t="s">
        <v>90</v>
      </c>
      <c r="B45" s="27">
        <v>6.161115451911E12</v>
      </c>
      <c r="C45" s="28" t="s">
        <v>91</v>
      </c>
      <c r="D45" s="28" t="s">
        <v>81</v>
      </c>
      <c r="E45" s="42">
        <f t="shared" si="31"/>
        <v>24917.79661</v>
      </c>
      <c r="F45" s="43">
        <v>29403.0</v>
      </c>
      <c r="G45" s="30">
        <v>32670.0</v>
      </c>
      <c r="H45" s="31">
        <f t="shared" si="32"/>
        <v>34670</v>
      </c>
      <c r="I45" s="32">
        <v>4.0</v>
      </c>
      <c r="J45" s="33">
        <v>8.0</v>
      </c>
      <c r="K45" s="33">
        <v>24.0</v>
      </c>
      <c r="L45" s="44"/>
      <c r="M45" s="42"/>
      <c r="N45" s="45"/>
      <c r="O45" s="6"/>
      <c r="P45" s="6"/>
      <c r="Q45" s="6"/>
      <c r="R45" s="6"/>
      <c r="S45" s="6"/>
    </row>
    <row r="46" ht="16.5" customHeight="1">
      <c r="A46" s="26" t="s">
        <v>92</v>
      </c>
      <c r="B46" s="27">
        <v>6.161115451928E12</v>
      </c>
      <c r="C46" s="28" t="s">
        <v>91</v>
      </c>
      <c r="D46" s="28" t="s">
        <v>83</v>
      </c>
      <c r="E46" s="42">
        <f t="shared" si="31"/>
        <v>12920.33898</v>
      </c>
      <c r="F46" s="43">
        <v>15246.0</v>
      </c>
      <c r="G46" s="30">
        <v>16940.0</v>
      </c>
      <c r="H46" s="31">
        <f t="shared" si="32"/>
        <v>18940</v>
      </c>
      <c r="I46" s="32">
        <v>8.0</v>
      </c>
      <c r="J46" s="33">
        <v>20.0</v>
      </c>
      <c r="K46" s="33">
        <v>40.0</v>
      </c>
      <c r="L46" s="44"/>
      <c r="M46" s="42"/>
      <c r="N46" s="45"/>
      <c r="O46" s="6"/>
      <c r="P46" s="6"/>
      <c r="Q46" s="6"/>
      <c r="R46" s="6"/>
      <c r="S46" s="6"/>
    </row>
    <row r="47" ht="16.5" customHeight="1">
      <c r="A47" s="26" t="s">
        <v>93</v>
      </c>
      <c r="B47" s="27">
        <v>6.164004695786E12</v>
      </c>
      <c r="C47" s="28" t="s">
        <v>94</v>
      </c>
      <c r="D47" s="28" t="s">
        <v>33</v>
      </c>
      <c r="E47" s="42">
        <f t="shared" si="31"/>
        <v>17542.37288</v>
      </c>
      <c r="F47" s="43">
        <v>20700.0</v>
      </c>
      <c r="G47" s="30">
        <v>23000.0</v>
      </c>
      <c r="H47" s="31">
        <f t="shared" si="32"/>
        <v>25000</v>
      </c>
      <c r="I47" s="32">
        <v>6.0</v>
      </c>
      <c r="J47" s="33">
        <v>15.0</v>
      </c>
      <c r="K47" s="33">
        <v>45.0</v>
      </c>
      <c r="L47" s="44" t="str">
        <f t="shared" ref="L47:N47" si="38">I47*#REF!</f>
        <v>#REF!</v>
      </c>
      <c r="M47" s="42" t="str">
        <f t="shared" si="38"/>
        <v>#REF!</v>
      </c>
      <c r="N47" s="45" t="str">
        <f t="shared" si="38"/>
        <v>#REF!</v>
      </c>
      <c r="O47" s="6"/>
      <c r="P47" s="6"/>
      <c r="Q47" s="6"/>
      <c r="R47" s="6"/>
      <c r="S47" s="6"/>
    </row>
    <row r="48" ht="16.5" customHeight="1">
      <c r="A48" s="26" t="s">
        <v>95</v>
      </c>
      <c r="B48" s="27">
        <v>6.164004695779E12</v>
      </c>
      <c r="C48" s="28" t="s">
        <v>96</v>
      </c>
      <c r="D48" s="28" t="s">
        <v>31</v>
      </c>
      <c r="E48" s="42">
        <f t="shared" si="31"/>
        <v>8389.830508</v>
      </c>
      <c r="F48" s="43">
        <v>9900.0</v>
      </c>
      <c r="G48" s="30">
        <v>11000.0</v>
      </c>
      <c r="H48" s="31">
        <f t="shared" si="32"/>
        <v>13000</v>
      </c>
      <c r="I48" s="32">
        <v>12.0</v>
      </c>
      <c r="J48" s="33">
        <v>16.0</v>
      </c>
      <c r="K48" s="33">
        <v>60.0</v>
      </c>
      <c r="L48" s="44" t="str">
        <f t="shared" ref="L48:N48" si="39">I48*#REF!</f>
        <v>#REF!</v>
      </c>
      <c r="M48" s="42" t="str">
        <f t="shared" si="39"/>
        <v>#REF!</v>
      </c>
      <c r="N48" s="45" t="str">
        <f t="shared" si="39"/>
        <v>#REF!</v>
      </c>
      <c r="O48" s="6"/>
      <c r="P48" s="6"/>
      <c r="Q48" s="6"/>
      <c r="R48" s="6"/>
      <c r="S48" s="6"/>
    </row>
    <row r="49" ht="24.75" customHeight="1">
      <c r="A49" s="39"/>
      <c r="B49" s="22"/>
      <c r="C49" s="17" t="s">
        <v>97</v>
      </c>
      <c r="D49" s="18" t="s">
        <v>8</v>
      </c>
      <c r="E49" s="14" t="s">
        <v>78</v>
      </c>
      <c r="F49" s="24"/>
      <c r="G49" s="24"/>
      <c r="H49" s="24"/>
      <c r="I49" s="40"/>
      <c r="J49" s="40"/>
      <c r="K49" s="40"/>
      <c r="L49" s="40"/>
      <c r="M49" s="14"/>
      <c r="N49" s="41"/>
      <c r="O49" s="6"/>
      <c r="P49" s="6"/>
      <c r="Q49" s="6"/>
      <c r="R49" s="6"/>
      <c r="S49" s="6"/>
    </row>
    <row r="50" ht="16.5" customHeight="1">
      <c r="A50" s="26" t="s">
        <v>98</v>
      </c>
      <c r="B50" s="27">
        <v>6.161115451867E12</v>
      </c>
      <c r="C50" s="28" t="s">
        <v>99</v>
      </c>
      <c r="D50" s="28" t="s">
        <v>100</v>
      </c>
      <c r="E50" s="42">
        <f t="shared" ref="E50:E57" si="40">F50/1.18</f>
        <v>6460.169492</v>
      </c>
      <c r="F50" s="43">
        <v>7623.0</v>
      </c>
      <c r="G50" s="30">
        <v>8470.0</v>
      </c>
      <c r="H50" s="31">
        <f t="shared" ref="H50:H57" si="41">G50+2000</f>
        <v>10470</v>
      </c>
      <c r="I50" s="32"/>
      <c r="J50" s="33"/>
      <c r="K50" s="33"/>
      <c r="L50" s="44"/>
      <c r="M50" s="42"/>
      <c r="N50" s="45"/>
      <c r="O50" s="6"/>
      <c r="P50" s="6"/>
      <c r="Q50" s="6"/>
      <c r="R50" s="6"/>
      <c r="S50" s="6"/>
    </row>
    <row r="51" ht="16.5" customHeight="1">
      <c r="A51" s="26" t="s">
        <v>101</v>
      </c>
      <c r="B51" s="27">
        <v>6.161115451898E12</v>
      </c>
      <c r="C51" s="28" t="s">
        <v>102</v>
      </c>
      <c r="D51" s="28" t="s">
        <v>100</v>
      </c>
      <c r="E51" s="42">
        <f t="shared" si="40"/>
        <v>6460.169492</v>
      </c>
      <c r="F51" s="43">
        <v>7623.0</v>
      </c>
      <c r="G51" s="30">
        <v>8470.0</v>
      </c>
      <c r="H51" s="31">
        <f t="shared" si="41"/>
        <v>10470</v>
      </c>
      <c r="I51" s="32"/>
      <c r="J51" s="33"/>
      <c r="K51" s="33"/>
      <c r="L51" s="44"/>
      <c r="M51" s="42"/>
      <c r="N51" s="45"/>
      <c r="O51" s="6"/>
      <c r="P51" s="6"/>
      <c r="Q51" s="6"/>
      <c r="R51" s="6"/>
      <c r="S51" s="6"/>
    </row>
    <row r="52" ht="16.5" customHeight="1">
      <c r="A52" s="26" t="s">
        <v>103</v>
      </c>
      <c r="B52" s="27">
        <v>6.161115451881E12</v>
      </c>
      <c r="C52" s="28" t="s">
        <v>104</v>
      </c>
      <c r="D52" s="28" t="s">
        <v>100</v>
      </c>
      <c r="E52" s="42">
        <f t="shared" si="40"/>
        <v>6460.169492</v>
      </c>
      <c r="F52" s="43">
        <v>7623.0</v>
      </c>
      <c r="G52" s="30">
        <v>8470.0</v>
      </c>
      <c r="H52" s="31">
        <f t="shared" si="41"/>
        <v>10470</v>
      </c>
      <c r="I52" s="32"/>
      <c r="J52" s="33"/>
      <c r="K52" s="33"/>
      <c r="L52" s="44"/>
      <c r="M52" s="42"/>
      <c r="N52" s="45"/>
      <c r="O52" s="6"/>
      <c r="P52" s="6"/>
      <c r="Q52" s="6"/>
      <c r="R52" s="6"/>
      <c r="S52" s="6"/>
    </row>
    <row r="53" ht="16.5" customHeight="1">
      <c r="A53" s="26" t="s">
        <v>105</v>
      </c>
      <c r="B53" s="27">
        <v>6.161115451874E12</v>
      </c>
      <c r="C53" s="28" t="s">
        <v>106</v>
      </c>
      <c r="D53" s="28" t="s">
        <v>100</v>
      </c>
      <c r="E53" s="42">
        <f t="shared" si="40"/>
        <v>6460.169492</v>
      </c>
      <c r="F53" s="43">
        <v>7623.0</v>
      </c>
      <c r="G53" s="30">
        <v>8470.0</v>
      </c>
      <c r="H53" s="31">
        <f t="shared" si="41"/>
        <v>10470</v>
      </c>
      <c r="I53" s="32"/>
      <c r="J53" s="33"/>
      <c r="K53" s="33"/>
      <c r="L53" s="44"/>
      <c r="M53" s="42"/>
      <c r="N53" s="45"/>
      <c r="O53" s="6"/>
      <c r="P53" s="6"/>
      <c r="Q53" s="6"/>
      <c r="R53" s="6"/>
      <c r="S53" s="6"/>
    </row>
    <row r="54" ht="16.5" customHeight="1">
      <c r="A54" s="26" t="s">
        <v>107</v>
      </c>
      <c r="B54" s="27">
        <v>6.161115451997E12</v>
      </c>
      <c r="C54" s="28" t="s">
        <v>108</v>
      </c>
      <c r="D54" s="28" t="s">
        <v>100</v>
      </c>
      <c r="E54" s="42">
        <f t="shared" si="40"/>
        <v>6963.559322</v>
      </c>
      <c r="F54" s="43">
        <v>8217.0</v>
      </c>
      <c r="G54" s="30">
        <v>9130.0</v>
      </c>
      <c r="H54" s="31">
        <f t="shared" si="41"/>
        <v>11130</v>
      </c>
      <c r="I54" s="32"/>
      <c r="J54" s="33"/>
      <c r="K54" s="33"/>
      <c r="L54" s="44"/>
      <c r="M54" s="42"/>
      <c r="N54" s="45"/>
      <c r="O54" s="6"/>
      <c r="P54" s="6"/>
      <c r="Q54" s="6"/>
      <c r="R54" s="6"/>
      <c r="S54" s="6"/>
    </row>
    <row r="55" ht="16.5" customHeight="1">
      <c r="A55" s="26" t="s">
        <v>109</v>
      </c>
      <c r="B55" s="27">
        <v>6.16111545198E12</v>
      </c>
      <c r="C55" s="28" t="s">
        <v>110</v>
      </c>
      <c r="D55" s="28" t="s">
        <v>100</v>
      </c>
      <c r="E55" s="42">
        <f t="shared" si="40"/>
        <v>6963.559322</v>
      </c>
      <c r="F55" s="43">
        <v>8217.0</v>
      </c>
      <c r="G55" s="30">
        <v>9130.0</v>
      </c>
      <c r="H55" s="31">
        <f t="shared" si="41"/>
        <v>11130</v>
      </c>
      <c r="I55" s="32"/>
      <c r="J55" s="33"/>
      <c r="K55" s="33"/>
      <c r="L55" s="44"/>
      <c r="M55" s="42"/>
      <c r="N55" s="45"/>
      <c r="O55" s="6"/>
      <c r="P55" s="6"/>
      <c r="Q55" s="6"/>
      <c r="R55" s="6"/>
      <c r="S55" s="6"/>
    </row>
    <row r="56" ht="16.5" customHeight="1">
      <c r="A56" s="26" t="s">
        <v>111</v>
      </c>
      <c r="B56" s="27">
        <v>6.161115451973E12</v>
      </c>
      <c r="C56" s="28" t="s">
        <v>112</v>
      </c>
      <c r="D56" s="28" t="s">
        <v>100</v>
      </c>
      <c r="E56" s="42">
        <f t="shared" si="40"/>
        <v>6963.559322</v>
      </c>
      <c r="F56" s="43">
        <v>8217.0</v>
      </c>
      <c r="G56" s="30">
        <v>9130.0</v>
      </c>
      <c r="H56" s="31">
        <f t="shared" si="41"/>
        <v>11130</v>
      </c>
      <c r="I56" s="32"/>
      <c r="J56" s="33"/>
      <c r="K56" s="33"/>
      <c r="L56" s="44"/>
      <c r="M56" s="42"/>
      <c r="N56" s="45"/>
      <c r="O56" s="6"/>
      <c r="P56" s="6"/>
      <c r="Q56" s="6"/>
      <c r="R56" s="6"/>
      <c r="S56" s="6"/>
    </row>
    <row r="57" ht="16.5" customHeight="1">
      <c r="A57" s="26" t="s">
        <v>113</v>
      </c>
      <c r="B57" s="27">
        <v>6.161115451966E12</v>
      </c>
      <c r="C57" s="28" t="s">
        <v>114</v>
      </c>
      <c r="D57" s="28" t="s">
        <v>100</v>
      </c>
      <c r="E57" s="42">
        <f t="shared" si="40"/>
        <v>6963.559322</v>
      </c>
      <c r="F57" s="43">
        <v>8217.0</v>
      </c>
      <c r="G57" s="30">
        <v>9130.0</v>
      </c>
      <c r="H57" s="31">
        <f t="shared" si="41"/>
        <v>11130</v>
      </c>
      <c r="I57" s="32"/>
      <c r="J57" s="33"/>
      <c r="K57" s="33"/>
      <c r="L57" s="44"/>
      <c r="M57" s="42"/>
      <c r="N57" s="45"/>
      <c r="O57" s="6"/>
      <c r="P57" s="6"/>
      <c r="Q57" s="6"/>
      <c r="R57" s="6"/>
      <c r="S57" s="6"/>
    </row>
    <row r="58" ht="16.5" customHeight="1">
      <c r="A58" s="26"/>
      <c r="B58" s="27"/>
      <c r="C58" s="28"/>
      <c r="D58" s="28"/>
      <c r="E58" s="42"/>
      <c r="F58" s="42"/>
      <c r="G58" s="29"/>
      <c r="H58" s="31"/>
      <c r="I58" s="32"/>
      <c r="J58" s="33"/>
      <c r="K58" s="33"/>
      <c r="L58" s="44"/>
      <c r="M58" s="42"/>
      <c r="N58" s="45"/>
      <c r="O58" s="6"/>
      <c r="P58" s="6"/>
      <c r="Q58" s="6"/>
      <c r="R58" s="6"/>
      <c r="S58" s="6"/>
    </row>
    <row r="59" ht="24.75" customHeight="1">
      <c r="A59" s="39"/>
      <c r="B59" s="22"/>
      <c r="C59" s="17" t="s">
        <v>115</v>
      </c>
      <c r="D59" s="18" t="s">
        <v>8</v>
      </c>
      <c r="E59" s="14" t="s">
        <v>78</v>
      </c>
      <c r="F59" s="14"/>
      <c r="G59" s="14"/>
      <c r="H59" s="14"/>
      <c r="I59" s="40" t="s">
        <v>13</v>
      </c>
      <c r="J59" s="40" t="s">
        <v>14</v>
      </c>
      <c r="K59" s="40" t="s">
        <v>15</v>
      </c>
      <c r="L59" s="40" t="s">
        <v>13</v>
      </c>
      <c r="M59" s="14" t="s">
        <v>14</v>
      </c>
      <c r="N59" s="14" t="s">
        <v>15</v>
      </c>
      <c r="O59" s="6"/>
      <c r="P59" s="6"/>
      <c r="Q59" s="6"/>
      <c r="R59" s="6"/>
      <c r="S59" s="6"/>
    </row>
    <row r="60" ht="16.5" customHeight="1">
      <c r="A60" s="26" t="s">
        <v>116</v>
      </c>
      <c r="B60" s="27">
        <v>6.161115450853E12</v>
      </c>
      <c r="C60" s="28" t="s">
        <v>117</v>
      </c>
      <c r="D60" s="28" t="s">
        <v>118</v>
      </c>
      <c r="E60" s="42">
        <f t="shared" ref="E60:E62" si="43">F60/1.15</f>
        <v>7833.913043</v>
      </c>
      <c r="F60" s="43">
        <v>9009.0</v>
      </c>
      <c r="G60" s="30">
        <v>10010.0</v>
      </c>
      <c r="H60" s="31">
        <f t="shared" ref="H60:H62" si="44">G60+2000</f>
        <v>12010</v>
      </c>
      <c r="I60" s="32">
        <v>7.0</v>
      </c>
      <c r="J60" s="33">
        <v>16.0</v>
      </c>
      <c r="K60" s="33">
        <v>20.0</v>
      </c>
      <c r="L60" s="44" t="str">
        <f t="shared" ref="L60:N60" si="42">I60*#REF!</f>
        <v>#REF!</v>
      </c>
      <c r="M60" s="42" t="str">
        <f t="shared" si="42"/>
        <v>#REF!</v>
      </c>
      <c r="N60" s="45" t="str">
        <f t="shared" si="42"/>
        <v>#REF!</v>
      </c>
      <c r="O60" s="6"/>
      <c r="P60" s="6"/>
      <c r="Q60" s="6"/>
      <c r="R60" s="6"/>
      <c r="S60" s="6"/>
    </row>
    <row r="61" ht="16.5" customHeight="1">
      <c r="A61" s="26" t="s">
        <v>119</v>
      </c>
      <c r="B61" s="27">
        <v>6.161115451621E12</v>
      </c>
      <c r="C61" s="28" t="s">
        <v>120</v>
      </c>
      <c r="D61" s="28" t="s">
        <v>121</v>
      </c>
      <c r="E61" s="42">
        <f t="shared" si="43"/>
        <v>9641.73913</v>
      </c>
      <c r="F61" s="43">
        <v>11088.0</v>
      </c>
      <c r="G61" s="30">
        <v>12320.0</v>
      </c>
      <c r="H61" s="31">
        <f t="shared" si="44"/>
        <v>14320</v>
      </c>
      <c r="I61" s="32">
        <v>7.0</v>
      </c>
      <c r="J61" s="33">
        <v>16.0</v>
      </c>
      <c r="K61" s="33">
        <v>20.0</v>
      </c>
      <c r="L61" s="44" t="str">
        <f t="shared" ref="L61:N61" si="45">I61*#REF!</f>
        <v>#REF!</v>
      </c>
      <c r="M61" s="42" t="str">
        <f t="shared" si="45"/>
        <v>#REF!</v>
      </c>
      <c r="N61" s="45" t="str">
        <f t="shared" si="45"/>
        <v>#REF!</v>
      </c>
      <c r="O61" s="6"/>
      <c r="P61" s="6"/>
      <c r="Q61" s="6"/>
      <c r="R61" s="6"/>
      <c r="S61" s="6"/>
    </row>
    <row r="62" ht="16.5" customHeight="1">
      <c r="A62" s="26" t="s">
        <v>122</v>
      </c>
      <c r="B62" s="27">
        <v>6.161115450846E12</v>
      </c>
      <c r="C62" s="28" t="s">
        <v>123</v>
      </c>
      <c r="D62" s="28" t="s">
        <v>124</v>
      </c>
      <c r="E62" s="42">
        <f t="shared" si="43"/>
        <v>10072.17391</v>
      </c>
      <c r="F62" s="43">
        <v>11583.0</v>
      </c>
      <c r="G62" s="30">
        <v>12870.0</v>
      </c>
      <c r="H62" s="31">
        <f t="shared" si="44"/>
        <v>14870</v>
      </c>
      <c r="I62" s="32">
        <v>7.0</v>
      </c>
      <c r="J62" s="33">
        <v>16.0</v>
      </c>
      <c r="K62" s="33">
        <v>20.0</v>
      </c>
      <c r="L62" s="44" t="str">
        <f t="shared" ref="L62:N62" si="46">I62*#REF!</f>
        <v>#REF!</v>
      </c>
      <c r="M62" s="42" t="str">
        <f t="shared" si="46"/>
        <v>#REF!</v>
      </c>
      <c r="N62" s="45" t="str">
        <f t="shared" si="46"/>
        <v>#REF!</v>
      </c>
      <c r="O62" s="6"/>
      <c r="P62" s="6"/>
      <c r="Q62" s="6"/>
      <c r="R62" s="6"/>
      <c r="S62" s="6"/>
    </row>
    <row r="63" ht="16.5" customHeight="1">
      <c r="A63" s="26"/>
      <c r="B63" s="27"/>
      <c r="C63" s="28"/>
      <c r="D63" s="28"/>
      <c r="E63" s="42"/>
      <c r="F63" s="42"/>
      <c r="G63" s="29"/>
      <c r="H63" s="31"/>
      <c r="I63" s="46"/>
      <c r="J63" s="46"/>
      <c r="K63" s="46"/>
      <c r="L63" s="46"/>
      <c r="M63" s="47"/>
      <c r="N63" s="48"/>
      <c r="O63" s="6"/>
      <c r="P63" s="6"/>
      <c r="Q63" s="6"/>
      <c r="R63" s="6"/>
      <c r="S63" s="6"/>
    </row>
    <row r="64" ht="16.5" customHeight="1">
      <c r="A64" s="8"/>
      <c r="B64" s="9"/>
      <c r="C64" s="49" t="s">
        <v>125</v>
      </c>
      <c r="D64" s="4"/>
      <c r="E64" s="4"/>
      <c r="F64" s="11"/>
      <c r="G64" s="50"/>
      <c r="H64" s="51"/>
      <c r="I64" s="13"/>
      <c r="J64" s="13"/>
      <c r="K64" s="13"/>
      <c r="L64" s="13"/>
      <c r="M64" s="52"/>
      <c r="N64" s="52"/>
      <c r="O64" s="6"/>
      <c r="P64" s="6"/>
      <c r="Q64" s="6"/>
      <c r="R64" s="6"/>
      <c r="S64" s="6"/>
    </row>
    <row r="65" ht="27.0" customHeight="1">
      <c r="A65" s="21"/>
      <c r="B65" s="22"/>
      <c r="C65" s="17" t="s">
        <v>126</v>
      </c>
      <c r="D65" s="18" t="s">
        <v>8</v>
      </c>
      <c r="E65" s="14" t="s">
        <v>127</v>
      </c>
      <c r="F65" s="14"/>
      <c r="G65" s="14"/>
      <c r="H65" s="14"/>
      <c r="I65" s="40" t="s">
        <v>13</v>
      </c>
      <c r="J65" s="40" t="s">
        <v>14</v>
      </c>
      <c r="K65" s="40" t="s">
        <v>15</v>
      </c>
      <c r="L65" s="40" t="s">
        <v>13</v>
      </c>
      <c r="M65" s="14" t="s">
        <v>14</v>
      </c>
      <c r="N65" s="41" t="s">
        <v>15</v>
      </c>
      <c r="O65" s="6"/>
      <c r="P65" s="6"/>
      <c r="Q65" s="6"/>
      <c r="R65" s="6"/>
      <c r="S65" s="6"/>
    </row>
    <row r="66" ht="16.5" customHeight="1">
      <c r="A66" s="26" t="s">
        <v>128</v>
      </c>
      <c r="B66" s="27">
        <v>6.164004695823E12</v>
      </c>
      <c r="C66" s="28" t="s">
        <v>129</v>
      </c>
      <c r="D66" s="28" t="s">
        <v>130</v>
      </c>
      <c r="E66" s="42">
        <f t="shared" ref="E66:E82" si="47">F66/1.18</f>
        <v>8893.220339</v>
      </c>
      <c r="F66" s="43">
        <v>10494.0</v>
      </c>
      <c r="G66" s="30">
        <v>11660.0</v>
      </c>
      <c r="H66" s="31">
        <f t="shared" ref="H66:H82" si="48">G66+2000</f>
        <v>13660</v>
      </c>
      <c r="I66" s="46">
        <v>10.0</v>
      </c>
      <c r="J66" s="46">
        <v>30.0</v>
      </c>
      <c r="K66" s="46">
        <v>60.0</v>
      </c>
      <c r="L66" s="44"/>
      <c r="M66" s="42"/>
      <c r="N66" s="45"/>
      <c r="O66" s="6"/>
      <c r="P66" s="6"/>
      <c r="Q66" s="6"/>
      <c r="R66" s="6"/>
      <c r="S66" s="6"/>
    </row>
    <row r="67" ht="16.5" customHeight="1">
      <c r="A67" s="26" t="s">
        <v>131</v>
      </c>
      <c r="B67" s="27">
        <v>6.16111545086E12</v>
      </c>
      <c r="C67" s="28" t="s">
        <v>132</v>
      </c>
      <c r="D67" s="28" t="s">
        <v>130</v>
      </c>
      <c r="E67" s="42">
        <f t="shared" si="47"/>
        <v>8641.525424</v>
      </c>
      <c r="F67" s="43">
        <v>10197.0</v>
      </c>
      <c r="G67" s="30">
        <v>11330.0</v>
      </c>
      <c r="H67" s="31">
        <f t="shared" si="48"/>
        <v>13330</v>
      </c>
      <c r="I67" s="46">
        <v>10.0</v>
      </c>
      <c r="J67" s="46">
        <v>30.0</v>
      </c>
      <c r="K67" s="46">
        <v>60.0</v>
      </c>
      <c r="L67" s="44"/>
      <c r="M67" s="42"/>
      <c r="N67" s="45"/>
      <c r="O67" s="6"/>
      <c r="P67" s="6"/>
      <c r="Q67" s="6"/>
      <c r="R67" s="6"/>
      <c r="S67" s="6"/>
    </row>
    <row r="68" ht="16.5" customHeight="1">
      <c r="A68" s="26" t="s">
        <v>133</v>
      </c>
      <c r="B68" s="27">
        <v>6.164004695885E12</v>
      </c>
      <c r="C68" s="28" t="s">
        <v>134</v>
      </c>
      <c r="D68" s="53" t="s">
        <v>130</v>
      </c>
      <c r="E68" s="42">
        <f t="shared" si="47"/>
        <v>6124.576271</v>
      </c>
      <c r="F68" s="43">
        <v>7227.0</v>
      </c>
      <c r="G68" s="30">
        <v>8030.0</v>
      </c>
      <c r="H68" s="31">
        <f t="shared" si="48"/>
        <v>10030</v>
      </c>
      <c r="I68" s="46">
        <v>10.0</v>
      </c>
      <c r="J68" s="46">
        <v>30.0</v>
      </c>
      <c r="K68" s="46">
        <v>60.0</v>
      </c>
      <c r="L68" s="13"/>
      <c r="M68" s="54"/>
      <c r="N68" s="55"/>
      <c r="O68" s="6"/>
      <c r="P68" s="6"/>
      <c r="Q68" s="6"/>
      <c r="R68" s="6"/>
      <c r="S68" s="6"/>
    </row>
    <row r="69" ht="16.5" customHeight="1">
      <c r="A69" s="26" t="s">
        <v>135</v>
      </c>
      <c r="B69" s="56">
        <v>6.161115450884E12</v>
      </c>
      <c r="C69" s="28" t="s">
        <v>136</v>
      </c>
      <c r="D69" s="53" t="s">
        <v>130</v>
      </c>
      <c r="E69" s="42">
        <f t="shared" si="47"/>
        <v>11577.9661</v>
      </c>
      <c r="F69" s="43">
        <v>13662.0</v>
      </c>
      <c r="G69" s="30">
        <v>15180.0</v>
      </c>
      <c r="H69" s="31">
        <f t="shared" si="48"/>
        <v>17180</v>
      </c>
      <c r="I69" s="46">
        <v>10.0</v>
      </c>
      <c r="J69" s="46">
        <v>30.0</v>
      </c>
      <c r="K69" s="46">
        <v>60.0</v>
      </c>
      <c r="L69" s="13"/>
      <c r="M69" s="54"/>
      <c r="N69" s="55"/>
      <c r="O69" s="6"/>
      <c r="P69" s="6"/>
      <c r="Q69" s="6"/>
      <c r="R69" s="6"/>
      <c r="S69" s="6"/>
    </row>
    <row r="70" ht="16.5" customHeight="1">
      <c r="A70" s="26" t="s">
        <v>137</v>
      </c>
      <c r="B70" s="56">
        <v>6.161115450914E12</v>
      </c>
      <c r="C70" s="57" t="s">
        <v>138</v>
      </c>
      <c r="D70" s="53" t="s">
        <v>130</v>
      </c>
      <c r="E70" s="42">
        <f t="shared" si="47"/>
        <v>8893.220339</v>
      </c>
      <c r="F70" s="58">
        <v>10494.0</v>
      </c>
      <c r="G70" s="30">
        <v>11660.0</v>
      </c>
      <c r="H70" s="31">
        <f t="shared" si="48"/>
        <v>13660</v>
      </c>
      <c r="I70" s="46">
        <v>10.0</v>
      </c>
      <c r="J70" s="46">
        <v>30.0</v>
      </c>
      <c r="K70" s="46">
        <v>60.0</v>
      </c>
      <c r="L70" s="13"/>
      <c r="M70" s="59"/>
      <c r="N70" s="60"/>
      <c r="O70" s="6"/>
      <c r="P70" s="6"/>
      <c r="Q70" s="6"/>
      <c r="R70" s="6"/>
      <c r="S70" s="6"/>
    </row>
    <row r="71" ht="16.5" customHeight="1">
      <c r="A71" s="26" t="s">
        <v>139</v>
      </c>
      <c r="B71" s="56">
        <v>6.161115451751E12</v>
      </c>
      <c r="C71" s="57" t="s">
        <v>140</v>
      </c>
      <c r="D71" s="53" t="s">
        <v>130</v>
      </c>
      <c r="E71" s="42">
        <f t="shared" si="47"/>
        <v>0</v>
      </c>
      <c r="F71" s="61"/>
      <c r="G71" s="30">
        <v>16390.0</v>
      </c>
      <c r="H71" s="31">
        <f t="shared" si="48"/>
        <v>18390</v>
      </c>
      <c r="I71" s="46">
        <v>10.0</v>
      </c>
      <c r="J71" s="46">
        <v>30.0</v>
      </c>
      <c r="K71" s="46">
        <v>60.0</v>
      </c>
      <c r="L71" s="13"/>
      <c r="M71" s="59"/>
      <c r="N71" s="60"/>
      <c r="O71" s="6"/>
      <c r="P71" s="6"/>
      <c r="Q71" s="6"/>
      <c r="R71" s="6"/>
      <c r="S71" s="6"/>
    </row>
    <row r="72" ht="16.5" customHeight="1">
      <c r="A72" s="26" t="s">
        <v>141</v>
      </c>
      <c r="B72" s="56">
        <v>6.161115451102E12</v>
      </c>
      <c r="C72" s="57" t="s">
        <v>142</v>
      </c>
      <c r="D72" s="53" t="s">
        <v>130</v>
      </c>
      <c r="E72" s="42">
        <f t="shared" si="47"/>
        <v>0</v>
      </c>
      <c r="F72" s="61"/>
      <c r="G72" s="30">
        <v>11330.0</v>
      </c>
      <c r="H72" s="31">
        <f t="shared" si="48"/>
        <v>13330</v>
      </c>
      <c r="I72" s="46">
        <v>10.0</v>
      </c>
      <c r="J72" s="46">
        <v>30.0</v>
      </c>
      <c r="K72" s="46">
        <v>60.0</v>
      </c>
      <c r="L72" s="13"/>
      <c r="M72" s="59"/>
      <c r="N72" s="60"/>
      <c r="O72" s="6"/>
      <c r="P72" s="6"/>
      <c r="Q72" s="6"/>
      <c r="R72" s="6"/>
      <c r="S72" s="6"/>
    </row>
    <row r="73" ht="16.5" customHeight="1">
      <c r="A73" s="26" t="s">
        <v>143</v>
      </c>
      <c r="B73" s="56">
        <v>6.161115451607E12</v>
      </c>
      <c r="C73" s="57" t="s">
        <v>144</v>
      </c>
      <c r="D73" s="53" t="s">
        <v>145</v>
      </c>
      <c r="E73" s="42">
        <f t="shared" si="47"/>
        <v>0</v>
      </c>
      <c r="F73" s="61"/>
      <c r="G73" s="30">
        <v>78760.0</v>
      </c>
      <c r="H73" s="31">
        <f t="shared" si="48"/>
        <v>80760</v>
      </c>
      <c r="I73" s="46">
        <v>5.0</v>
      </c>
      <c r="J73" s="46">
        <v>10.0</v>
      </c>
      <c r="K73" s="46">
        <v>20.0</v>
      </c>
      <c r="L73" s="13"/>
      <c r="M73" s="59"/>
      <c r="N73" s="60"/>
      <c r="O73" s="6"/>
      <c r="P73" s="6"/>
      <c r="Q73" s="6"/>
      <c r="R73" s="6"/>
      <c r="S73" s="6"/>
    </row>
    <row r="74" ht="16.5" customHeight="1">
      <c r="A74" s="26" t="s">
        <v>146</v>
      </c>
      <c r="B74" s="56">
        <v>6.161115451584E12</v>
      </c>
      <c r="C74" s="57" t="s">
        <v>144</v>
      </c>
      <c r="D74" s="53" t="s">
        <v>130</v>
      </c>
      <c r="E74" s="42">
        <f t="shared" si="47"/>
        <v>0</v>
      </c>
      <c r="F74" s="61"/>
      <c r="G74" s="30">
        <v>19690.0</v>
      </c>
      <c r="H74" s="31">
        <f t="shared" si="48"/>
        <v>21690</v>
      </c>
      <c r="I74" s="46">
        <v>10.0</v>
      </c>
      <c r="J74" s="46">
        <v>30.0</v>
      </c>
      <c r="K74" s="46">
        <v>60.0</v>
      </c>
      <c r="L74" s="13"/>
      <c r="M74" s="59"/>
      <c r="N74" s="60"/>
      <c r="O74" s="6"/>
      <c r="P74" s="6"/>
      <c r="Q74" s="6"/>
      <c r="R74" s="6"/>
      <c r="S74" s="6"/>
    </row>
    <row r="75" ht="16.5" customHeight="1">
      <c r="A75" s="26" t="s">
        <v>147</v>
      </c>
      <c r="B75" s="56">
        <v>6.161115451614E12</v>
      </c>
      <c r="C75" s="57" t="s">
        <v>148</v>
      </c>
      <c r="D75" s="53" t="s">
        <v>145</v>
      </c>
      <c r="E75" s="42">
        <f t="shared" si="47"/>
        <v>0</v>
      </c>
      <c r="F75" s="61"/>
      <c r="G75" s="30">
        <v>87560.0</v>
      </c>
      <c r="H75" s="31">
        <f t="shared" si="48"/>
        <v>89560</v>
      </c>
      <c r="I75" s="46">
        <v>5.0</v>
      </c>
      <c r="J75" s="46">
        <v>10.0</v>
      </c>
      <c r="K75" s="46">
        <v>20.0</v>
      </c>
      <c r="L75" s="13"/>
      <c r="M75" s="59"/>
      <c r="N75" s="60"/>
      <c r="O75" s="6"/>
      <c r="P75" s="6"/>
      <c r="Q75" s="6"/>
      <c r="R75" s="6"/>
      <c r="S75" s="6"/>
    </row>
    <row r="76" ht="16.5" customHeight="1">
      <c r="A76" s="26" t="s">
        <v>149</v>
      </c>
      <c r="B76" s="56">
        <v>6.161115451591E12</v>
      </c>
      <c r="C76" s="57" t="s">
        <v>148</v>
      </c>
      <c r="D76" s="53" t="s">
        <v>130</v>
      </c>
      <c r="E76" s="42">
        <f t="shared" si="47"/>
        <v>0</v>
      </c>
      <c r="F76" s="61"/>
      <c r="G76" s="30">
        <v>21890.0</v>
      </c>
      <c r="H76" s="31">
        <f t="shared" si="48"/>
        <v>23890</v>
      </c>
      <c r="I76" s="46">
        <v>10.0</v>
      </c>
      <c r="J76" s="46">
        <v>30.0</v>
      </c>
      <c r="K76" s="46">
        <v>60.0</v>
      </c>
      <c r="L76" s="13"/>
      <c r="M76" s="59"/>
      <c r="N76" s="60"/>
      <c r="O76" s="6"/>
      <c r="P76" s="6"/>
      <c r="Q76" s="6"/>
      <c r="R76" s="6"/>
      <c r="S76" s="6"/>
    </row>
    <row r="77" ht="16.5" customHeight="1">
      <c r="A77" s="26" t="s">
        <v>150</v>
      </c>
      <c r="B77" s="56">
        <v>6.161115451775E12</v>
      </c>
      <c r="C77" s="57" t="s">
        <v>151</v>
      </c>
      <c r="D77" s="53" t="s">
        <v>130</v>
      </c>
      <c r="E77" s="42">
        <f t="shared" si="47"/>
        <v>0</v>
      </c>
      <c r="F77" s="61"/>
      <c r="G77" s="30">
        <v>18150.0</v>
      </c>
      <c r="H77" s="31">
        <f t="shared" si="48"/>
        <v>20150</v>
      </c>
      <c r="I77" s="46">
        <v>10.0</v>
      </c>
      <c r="J77" s="46">
        <v>30.0</v>
      </c>
      <c r="K77" s="46">
        <v>60.0</v>
      </c>
      <c r="L77" s="13"/>
      <c r="M77" s="59"/>
      <c r="N77" s="60"/>
      <c r="O77" s="6"/>
      <c r="P77" s="6"/>
      <c r="Q77" s="6"/>
      <c r="R77" s="6"/>
      <c r="S77" s="6"/>
    </row>
    <row r="78" ht="16.5" customHeight="1">
      <c r="A78" s="26" t="s">
        <v>152</v>
      </c>
      <c r="B78" s="56">
        <v>6.161115451768E12</v>
      </c>
      <c r="C78" s="57" t="s">
        <v>153</v>
      </c>
      <c r="D78" s="53" t="s">
        <v>130</v>
      </c>
      <c r="E78" s="42">
        <f t="shared" si="47"/>
        <v>0</v>
      </c>
      <c r="F78" s="61"/>
      <c r="G78" s="30">
        <v>16390.0</v>
      </c>
      <c r="H78" s="31">
        <f t="shared" si="48"/>
        <v>18390</v>
      </c>
      <c r="I78" s="46">
        <v>10.0</v>
      </c>
      <c r="J78" s="46">
        <v>30.0</v>
      </c>
      <c r="K78" s="46">
        <v>60.0</v>
      </c>
      <c r="L78" s="13"/>
      <c r="M78" s="59"/>
      <c r="N78" s="60"/>
      <c r="O78" s="6"/>
      <c r="P78" s="6"/>
      <c r="Q78" s="6"/>
      <c r="R78" s="6"/>
      <c r="S78" s="6"/>
    </row>
    <row r="79" ht="16.5" customHeight="1">
      <c r="A79" s="26" t="s">
        <v>154</v>
      </c>
      <c r="B79" s="56">
        <v>6.161115451805E12</v>
      </c>
      <c r="C79" s="57" t="s">
        <v>155</v>
      </c>
      <c r="D79" s="53" t="s">
        <v>130</v>
      </c>
      <c r="E79" s="42">
        <f t="shared" si="47"/>
        <v>0</v>
      </c>
      <c r="F79" s="61"/>
      <c r="G79" s="30">
        <v>18150.0</v>
      </c>
      <c r="H79" s="31">
        <f t="shared" si="48"/>
        <v>20150</v>
      </c>
      <c r="I79" s="46">
        <v>10.0</v>
      </c>
      <c r="J79" s="46">
        <v>30.0</v>
      </c>
      <c r="K79" s="46">
        <v>60.0</v>
      </c>
      <c r="L79" s="13"/>
      <c r="M79" s="59"/>
      <c r="N79" s="60"/>
      <c r="O79" s="6"/>
      <c r="P79" s="6"/>
      <c r="Q79" s="6"/>
      <c r="R79" s="6"/>
      <c r="S79" s="6"/>
    </row>
    <row r="80" ht="16.5" customHeight="1">
      <c r="A80" s="26" t="s">
        <v>156</v>
      </c>
      <c r="B80" s="56">
        <v>6.161115452123E12</v>
      </c>
      <c r="C80" s="57" t="s">
        <v>157</v>
      </c>
      <c r="D80" s="53" t="s">
        <v>158</v>
      </c>
      <c r="E80" s="42">
        <f t="shared" si="47"/>
        <v>0</v>
      </c>
      <c r="F80" s="61"/>
      <c r="G80" s="30">
        <v>32670.0</v>
      </c>
      <c r="H80" s="31">
        <f t="shared" si="48"/>
        <v>34670</v>
      </c>
      <c r="I80" s="46">
        <v>5.0</v>
      </c>
      <c r="J80" s="46">
        <v>10.0</v>
      </c>
      <c r="K80" s="46">
        <v>30.0</v>
      </c>
      <c r="L80" s="13"/>
      <c r="M80" s="59"/>
      <c r="N80" s="60"/>
      <c r="O80" s="6"/>
      <c r="P80" s="6"/>
      <c r="Q80" s="6"/>
      <c r="R80" s="6"/>
      <c r="S80" s="6"/>
    </row>
    <row r="81" ht="16.5" customHeight="1">
      <c r="A81" s="26" t="s">
        <v>159</v>
      </c>
      <c r="B81" s="56">
        <v>6.161115452116E12</v>
      </c>
      <c r="C81" s="57" t="s">
        <v>160</v>
      </c>
      <c r="D81" s="53" t="s">
        <v>158</v>
      </c>
      <c r="E81" s="42">
        <f t="shared" si="47"/>
        <v>0</v>
      </c>
      <c r="F81" s="61"/>
      <c r="G81" s="30">
        <v>32670.0</v>
      </c>
      <c r="H81" s="31">
        <f t="shared" si="48"/>
        <v>34670</v>
      </c>
      <c r="I81" s="46">
        <v>5.0</v>
      </c>
      <c r="J81" s="46">
        <v>10.0</v>
      </c>
      <c r="K81" s="46">
        <v>30.0</v>
      </c>
      <c r="L81" s="13"/>
      <c r="M81" s="59"/>
      <c r="N81" s="60"/>
      <c r="O81" s="6"/>
      <c r="P81" s="6"/>
      <c r="Q81" s="6"/>
      <c r="R81" s="6"/>
      <c r="S81" s="6"/>
    </row>
    <row r="82" ht="16.5" customHeight="1">
      <c r="A82" s="26" t="s">
        <v>161</v>
      </c>
      <c r="B82" s="56">
        <v>6.161115452109E12</v>
      </c>
      <c r="C82" s="57" t="s">
        <v>162</v>
      </c>
      <c r="D82" s="53" t="s">
        <v>158</v>
      </c>
      <c r="E82" s="42">
        <f t="shared" si="47"/>
        <v>0</v>
      </c>
      <c r="F82" s="61"/>
      <c r="G82" s="30">
        <v>32670.0</v>
      </c>
      <c r="H82" s="31">
        <f t="shared" si="48"/>
        <v>34670</v>
      </c>
      <c r="I82" s="46">
        <v>5.0</v>
      </c>
      <c r="J82" s="46">
        <v>10.0</v>
      </c>
      <c r="K82" s="46">
        <v>30.0</v>
      </c>
      <c r="L82" s="13"/>
      <c r="M82" s="59"/>
      <c r="N82" s="60"/>
      <c r="O82" s="6"/>
      <c r="P82" s="6"/>
      <c r="Q82" s="6"/>
      <c r="R82" s="6"/>
      <c r="S82" s="6"/>
    </row>
    <row r="83" ht="16.5" customHeight="1">
      <c r="A83" s="26"/>
      <c r="B83" s="56"/>
      <c r="C83" s="57"/>
      <c r="D83" s="53"/>
      <c r="E83" s="61"/>
      <c r="F83" s="61"/>
      <c r="G83" s="29"/>
      <c r="H83" s="31"/>
      <c r="I83" s="46"/>
      <c r="J83" s="40"/>
      <c r="K83" s="40"/>
      <c r="L83" s="13"/>
      <c r="M83" s="59"/>
      <c r="N83" s="60"/>
      <c r="O83" s="6"/>
      <c r="P83" s="6"/>
      <c r="Q83" s="6"/>
      <c r="R83" s="6"/>
      <c r="S83" s="6"/>
    </row>
    <row r="84" ht="16.5" customHeight="1">
      <c r="A84" s="26"/>
      <c r="B84" s="9"/>
      <c r="C84" s="60" t="s">
        <v>163</v>
      </c>
      <c r="D84" s="14"/>
      <c r="E84" s="14"/>
      <c r="F84" s="14"/>
      <c r="G84" s="14"/>
      <c r="H84" s="14"/>
      <c r="I84" s="40" t="s">
        <v>13</v>
      </c>
      <c r="J84" s="40" t="s">
        <v>14</v>
      </c>
      <c r="K84" s="40" t="s">
        <v>15</v>
      </c>
      <c r="L84" s="13"/>
      <c r="M84" s="59"/>
      <c r="N84" s="60"/>
      <c r="O84" s="6"/>
      <c r="P84" s="6"/>
      <c r="Q84" s="6"/>
      <c r="R84" s="6"/>
      <c r="S84" s="6"/>
    </row>
    <row r="85" ht="16.5" customHeight="1">
      <c r="A85" s="21"/>
      <c r="B85" s="22"/>
      <c r="C85" s="62" t="s">
        <v>163</v>
      </c>
      <c r="D85" s="62" t="s">
        <v>8</v>
      </c>
      <c r="E85" s="63" t="s">
        <v>127</v>
      </c>
      <c r="F85" s="63"/>
      <c r="G85" s="63"/>
      <c r="H85" s="63"/>
      <c r="I85" s="40"/>
      <c r="J85" s="40"/>
      <c r="K85" s="40"/>
      <c r="L85" s="40"/>
      <c r="M85" s="63"/>
      <c r="N85" s="63"/>
      <c r="O85" s="6"/>
      <c r="P85" s="6"/>
      <c r="Q85" s="6"/>
      <c r="R85" s="6"/>
      <c r="S85" s="6"/>
    </row>
    <row r="86" ht="16.5" customHeight="1">
      <c r="A86" s="26" t="s">
        <v>164</v>
      </c>
      <c r="B86" s="27">
        <v>6.164004695861E12</v>
      </c>
      <c r="C86" s="28" t="s">
        <v>165</v>
      </c>
      <c r="D86" s="28" t="s">
        <v>130</v>
      </c>
      <c r="E86" s="42">
        <f t="shared" ref="E86:E92" si="49">F86/1.18</f>
        <v>0</v>
      </c>
      <c r="F86" s="42"/>
      <c r="G86" s="30">
        <v>10120.0</v>
      </c>
      <c r="H86" s="31">
        <f t="shared" ref="H86:H92" si="50">G86+2000</f>
        <v>12120</v>
      </c>
      <c r="I86" s="46">
        <v>10.0</v>
      </c>
      <c r="J86" s="46">
        <v>30.0</v>
      </c>
      <c r="K86" s="46">
        <v>60.0</v>
      </c>
      <c r="L86" s="44"/>
      <c r="M86" s="42"/>
      <c r="N86" s="45"/>
      <c r="O86" s="6"/>
      <c r="P86" s="6"/>
      <c r="Q86" s="6"/>
      <c r="R86" s="6"/>
      <c r="S86" s="6"/>
    </row>
    <row r="87" ht="16.5" customHeight="1">
      <c r="A87" s="26" t="s">
        <v>166</v>
      </c>
      <c r="B87" s="27">
        <v>6.161115450051E12</v>
      </c>
      <c r="C87" s="28" t="s">
        <v>167</v>
      </c>
      <c r="D87" s="28" t="s">
        <v>130</v>
      </c>
      <c r="E87" s="42">
        <f t="shared" si="49"/>
        <v>0</v>
      </c>
      <c r="F87" s="42"/>
      <c r="G87" s="30">
        <v>9680.0</v>
      </c>
      <c r="H87" s="31">
        <f t="shared" si="50"/>
        <v>11680</v>
      </c>
      <c r="I87" s="46">
        <v>10.0</v>
      </c>
      <c r="J87" s="46">
        <v>30.0</v>
      </c>
      <c r="K87" s="46">
        <v>60.0</v>
      </c>
      <c r="L87" s="44"/>
      <c r="M87" s="42"/>
      <c r="N87" s="45"/>
      <c r="O87" s="6"/>
      <c r="P87" s="6"/>
      <c r="Q87" s="6"/>
      <c r="R87" s="6"/>
      <c r="S87" s="6"/>
    </row>
    <row r="88" ht="16.5" customHeight="1">
      <c r="A88" s="26" t="s">
        <v>168</v>
      </c>
      <c r="B88" s="64">
        <v>6.164004695878E12</v>
      </c>
      <c r="C88" s="65" t="s">
        <v>169</v>
      </c>
      <c r="D88" s="65" t="s">
        <v>130</v>
      </c>
      <c r="E88" s="42">
        <f t="shared" si="49"/>
        <v>0</v>
      </c>
      <c r="F88" s="66"/>
      <c r="G88" s="30">
        <v>16720.0</v>
      </c>
      <c r="H88" s="31">
        <f t="shared" si="50"/>
        <v>18720</v>
      </c>
      <c r="I88" s="46">
        <v>10.0</v>
      </c>
      <c r="J88" s="46">
        <v>30.0</v>
      </c>
      <c r="K88" s="46">
        <v>60.0</v>
      </c>
      <c r="L88" s="44"/>
      <c r="M88" s="42"/>
      <c r="N88" s="45"/>
      <c r="O88" s="6"/>
      <c r="P88" s="6"/>
      <c r="Q88" s="6"/>
      <c r="R88" s="6"/>
      <c r="S88" s="6"/>
    </row>
    <row r="89" ht="16.5" customHeight="1">
      <c r="A89" s="26" t="s">
        <v>170</v>
      </c>
      <c r="B89" s="64">
        <v>6.161115451492E12</v>
      </c>
      <c r="C89" s="65" t="s">
        <v>171</v>
      </c>
      <c r="D89" s="28" t="s">
        <v>130</v>
      </c>
      <c r="E89" s="42">
        <f t="shared" si="49"/>
        <v>0</v>
      </c>
      <c r="F89" s="66"/>
      <c r="G89" s="30">
        <v>10340.0</v>
      </c>
      <c r="H89" s="31">
        <f t="shared" si="50"/>
        <v>12340</v>
      </c>
      <c r="I89" s="46">
        <v>10.0</v>
      </c>
      <c r="J89" s="46">
        <v>30.0</v>
      </c>
      <c r="K89" s="46">
        <v>60.0</v>
      </c>
      <c r="L89" s="44"/>
      <c r="M89" s="45"/>
      <c r="N89" s="67"/>
      <c r="O89" s="6"/>
      <c r="P89" s="6"/>
      <c r="Q89" s="6"/>
      <c r="R89" s="6"/>
      <c r="S89" s="6"/>
    </row>
    <row r="90" ht="16.5" customHeight="1">
      <c r="A90" s="26" t="s">
        <v>172</v>
      </c>
      <c r="B90" s="64">
        <v>6.16111545185E12</v>
      </c>
      <c r="C90" s="65" t="s">
        <v>173</v>
      </c>
      <c r="D90" s="28" t="s">
        <v>130</v>
      </c>
      <c r="E90" s="42">
        <f t="shared" si="49"/>
        <v>0</v>
      </c>
      <c r="F90" s="66"/>
      <c r="G90" s="30">
        <v>15180.0</v>
      </c>
      <c r="H90" s="31">
        <f t="shared" si="50"/>
        <v>17180</v>
      </c>
      <c r="I90" s="46">
        <v>10.0</v>
      </c>
      <c r="J90" s="46">
        <v>30.0</v>
      </c>
      <c r="K90" s="46">
        <v>60.0</v>
      </c>
      <c r="L90" s="44"/>
      <c r="M90" s="45"/>
      <c r="N90" s="67"/>
      <c r="O90" s="6"/>
      <c r="P90" s="6"/>
      <c r="Q90" s="6"/>
      <c r="R90" s="6"/>
      <c r="S90" s="6"/>
    </row>
    <row r="91" ht="16.5" customHeight="1">
      <c r="A91" s="26" t="s">
        <v>174</v>
      </c>
      <c r="B91" s="64"/>
      <c r="C91" s="68" t="s">
        <v>175</v>
      </c>
      <c r="D91" s="68" t="s">
        <v>83</v>
      </c>
      <c r="E91" s="42">
        <f t="shared" si="49"/>
        <v>0</v>
      </c>
      <c r="F91" s="43"/>
      <c r="G91" s="30">
        <v>24640.0</v>
      </c>
      <c r="H91" s="31">
        <f t="shared" si="50"/>
        <v>26640</v>
      </c>
      <c r="I91" s="46">
        <v>10.0</v>
      </c>
      <c r="J91" s="46">
        <v>30.0</v>
      </c>
      <c r="K91" s="46">
        <v>60.0</v>
      </c>
      <c r="L91" s="44"/>
      <c r="M91" s="45"/>
      <c r="N91" s="67"/>
      <c r="O91" s="6"/>
      <c r="P91" s="6"/>
      <c r="Q91" s="6"/>
      <c r="R91" s="6"/>
      <c r="S91" s="6"/>
    </row>
    <row r="92" ht="16.5" customHeight="1">
      <c r="A92" s="26" t="s">
        <v>176</v>
      </c>
      <c r="B92" s="64"/>
      <c r="C92" s="69" t="s">
        <v>175</v>
      </c>
      <c r="D92" s="69" t="s">
        <v>145</v>
      </c>
      <c r="E92" s="42">
        <f t="shared" si="49"/>
        <v>0</v>
      </c>
      <c r="F92" s="70"/>
      <c r="G92" s="30">
        <v>49280.0</v>
      </c>
      <c r="H92" s="31">
        <f t="shared" si="50"/>
        <v>51280</v>
      </c>
      <c r="I92" s="71">
        <v>5.0</v>
      </c>
      <c r="J92" s="71">
        <v>10.0</v>
      </c>
      <c r="K92" s="71">
        <v>20.0</v>
      </c>
      <c r="L92" s="44"/>
      <c r="M92" s="45"/>
      <c r="N92" s="67"/>
      <c r="O92" s="6"/>
      <c r="P92" s="6"/>
      <c r="Q92" s="6"/>
      <c r="R92" s="6"/>
      <c r="S92" s="6"/>
    </row>
    <row r="93" ht="16.5" customHeight="1">
      <c r="A93" s="26"/>
      <c r="B93" s="64"/>
      <c r="C93" s="72" t="s">
        <v>177</v>
      </c>
      <c r="D93" s="4"/>
      <c r="E93" s="4"/>
      <c r="F93" s="11"/>
      <c r="G93" s="73"/>
      <c r="H93" s="74"/>
      <c r="I93" s="75"/>
      <c r="J93" s="4"/>
      <c r="K93" s="4"/>
      <c r="L93" s="5"/>
      <c r="M93" s="60"/>
      <c r="N93" s="76"/>
      <c r="O93" s="6"/>
      <c r="P93" s="6"/>
      <c r="Q93" s="6"/>
      <c r="R93" s="6"/>
      <c r="S93" s="6"/>
    </row>
    <row r="94" ht="16.5" customHeight="1">
      <c r="A94" s="21"/>
      <c r="B94" s="22"/>
      <c r="C94" s="77" t="s">
        <v>178</v>
      </c>
      <c r="D94" s="62" t="s">
        <v>8</v>
      </c>
      <c r="E94" s="63" t="s">
        <v>127</v>
      </c>
      <c r="F94" s="63"/>
      <c r="G94" s="63"/>
      <c r="H94" s="63"/>
      <c r="I94" s="40"/>
      <c r="J94" s="40"/>
      <c r="K94" s="78"/>
      <c r="L94" s="79"/>
      <c r="M94" s="6"/>
      <c r="N94" s="6"/>
      <c r="O94" s="6"/>
      <c r="P94" s="6"/>
      <c r="Q94" s="6"/>
      <c r="R94" s="6"/>
      <c r="S94" s="6"/>
    </row>
    <row r="95" ht="16.5" customHeight="1">
      <c r="A95" s="26" t="s">
        <v>179</v>
      </c>
      <c r="B95" s="64">
        <v>6.161115450068E12</v>
      </c>
      <c r="C95" s="65" t="s">
        <v>180</v>
      </c>
      <c r="D95" s="28" t="s">
        <v>181</v>
      </c>
      <c r="E95" s="80">
        <v>22000.0</v>
      </c>
      <c r="F95" s="80"/>
      <c r="G95" s="29">
        <f t="shared" ref="G95:G100" si="51">E95*1.1</f>
        <v>24200</v>
      </c>
      <c r="H95" s="31">
        <f t="shared" ref="H95:H100" si="52">G95+2000</f>
        <v>26200</v>
      </c>
      <c r="I95" s="32">
        <v>4.0</v>
      </c>
      <c r="J95" s="46">
        <v>8.0</v>
      </c>
      <c r="K95" s="46">
        <v>24.0</v>
      </c>
      <c r="L95" s="78"/>
      <c r="M95" s="65"/>
      <c r="N95" s="81"/>
      <c r="O95" s="6"/>
      <c r="P95" s="6"/>
      <c r="Q95" s="6"/>
      <c r="R95" s="6"/>
      <c r="S95" s="6"/>
    </row>
    <row r="96" ht="16.5" customHeight="1">
      <c r="A96" s="26" t="s">
        <v>182</v>
      </c>
      <c r="B96" s="64">
        <v>6.161115450075E12</v>
      </c>
      <c r="C96" s="65" t="s">
        <v>180</v>
      </c>
      <c r="D96" s="65" t="s">
        <v>83</v>
      </c>
      <c r="E96" s="80">
        <v>13200.0</v>
      </c>
      <c r="F96" s="80"/>
      <c r="G96" s="29">
        <f t="shared" si="51"/>
        <v>14520</v>
      </c>
      <c r="H96" s="31">
        <f t="shared" si="52"/>
        <v>16520</v>
      </c>
      <c r="I96" s="32">
        <v>8.0</v>
      </c>
      <c r="J96" s="46">
        <v>16.0</v>
      </c>
      <c r="K96" s="46">
        <v>40.0</v>
      </c>
      <c r="L96" s="78"/>
      <c r="M96" s="65"/>
      <c r="N96" s="81"/>
      <c r="O96" s="6"/>
      <c r="P96" s="6"/>
      <c r="Q96" s="6"/>
      <c r="R96" s="6"/>
      <c r="S96" s="6"/>
    </row>
    <row r="97" ht="16.5" customHeight="1">
      <c r="A97" s="26" t="s">
        <v>183</v>
      </c>
      <c r="B97" s="64">
        <v>6.164004695922E12</v>
      </c>
      <c r="C97" s="65" t="s">
        <v>184</v>
      </c>
      <c r="D97" s="65" t="s">
        <v>118</v>
      </c>
      <c r="E97" s="80">
        <v>13200.0</v>
      </c>
      <c r="F97" s="80"/>
      <c r="G97" s="29">
        <f t="shared" si="51"/>
        <v>14520</v>
      </c>
      <c r="H97" s="31">
        <f t="shared" si="52"/>
        <v>16520</v>
      </c>
      <c r="I97" s="32">
        <v>4.0</v>
      </c>
      <c r="J97" s="46">
        <v>8.0</v>
      </c>
      <c r="K97" s="46">
        <v>24.0</v>
      </c>
      <c r="L97" s="78"/>
      <c r="M97" s="65"/>
      <c r="N97" s="81"/>
      <c r="O97" s="6"/>
      <c r="P97" s="6"/>
      <c r="Q97" s="6"/>
      <c r="R97" s="6"/>
      <c r="S97" s="6"/>
    </row>
    <row r="98" ht="16.5" customHeight="1">
      <c r="A98" s="26" t="s">
        <v>185</v>
      </c>
      <c r="B98" s="64">
        <v>6.164004695939E12</v>
      </c>
      <c r="C98" s="65" t="s">
        <v>186</v>
      </c>
      <c r="D98" s="65" t="s">
        <v>83</v>
      </c>
      <c r="E98" s="80">
        <v>13200.0</v>
      </c>
      <c r="F98" s="80"/>
      <c r="G98" s="29">
        <f t="shared" si="51"/>
        <v>14520</v>
      </c>
      <c r="H98" s="31">
        <f t="shared" si="52"/>
        <v>16520</v>
      </c>
      <c r="I98" s="32">
        <v>8.0</v>
      </c>
      <c r="J98" s="46">
        <v>16.0</v>
      </c>
      <c r="K98" s="46">
        <v>40.0</v>
      </c>
      <c r="L98" s="78"/>
      <c r="M98" s="65"/>
      <c r="N98" s="81"/>
      <c r="O98" s="6"/>
      <c r="P98" s="6"/>
      <c r="Q98" s="6"/>
      <c r="R98" s="6"/>
      <c r="S98" s="6"/>
    </row>
    <row r="99" ht="16.5" customHeight="1">
      <c r="A99" s="26" t="s">
        <v>187</v>
      </c>
      <c r="B99" s="64">
        <v>6.161115451812E12</v>
      </c>
      <c r="C99" s="65" t="s">
        <v>188</v>
      </c>
      <c r="D99" s="65" t="s">
        <v>189</v>
      </c>
      <c r="E99" s="80">
        <v>16000.0</v>
      </c>
      <c r="F99" s="80"/>
      <c r="G99" s="29">
        <f t="shared" si="51"/>
        <v>17600</v>
      </c>
      <c r="H99" s="31">
        <f t="shared" si="52"/>
        <v>19600</v>
      </c>
      <c r="I99" s="32" t="s">
        <v>190</v>
      </c>
      <c r="J99" s="46" t="s">
        <v>191</v>
      </c>
      <c r="K99" s="46">
        <v>20.0</v>
      </c>
      <c r="L99" s="78"/>
      <c r="M99" s="65"/>
      <c r="N99" s="81"/>
      <c r="O99" s="6"/>
      <c r="P99" s="6"/>
      <c r="Q99" s="6"/>
      <c r="R99" s="6"/>
      <c r="S99" s="6"/>
    </row>
    <row r="100" ht="16.5" customHeight="1">
      <c r="A100" s="26" t="s">
        <v>192</v>
      </c>
      <c r="B100" s="64">
        <v>6.161115451829E12</v>
      </c>
      <c r="C100" s="65" t="s">
        <v>193</v>
      </c>
      <c r="D100" s="65" t="s">
        <v>189</v>
      </c>
      <c r="E100" s="80">
        <v>18700.0</v>
      </c>
      <c r="F100" s="80"/>
      <c r="G100" s="29">
        <f t="shared" si="51"/>
        <v>20570</v>
      </c>
      <c r="H100" s="31">
        <f t="shared" si="52"/>
        <v>22570</v>
      </c>
      <c r="I100" s="32" t="s">
        <v>194</v>
      </c>
      <c r="J100" s="46" t="s">
        <v>195</v>
      </c>
      <c r="K100" s="46">
        <v>20.0</v>
      </c>
      <c r="L100" s="78"/>
      <c r="M100" s="65"/>
      <c r="N100" s="81"/>
      <c r="O100" s="6"/>
      <c r="P100" s="6"/>
      <c r="Q100" s="6"/>
      <c r="R100" s="6"/>
      <c r="S100" s="6"/>
    </row>
    <row r="101" ht="16.5" customHeight="1">
      <c r="A101" s="26"/>
      <c r="B101" s="64"/>
      <c r="C101" s="65"/>
      <c r="D101" s="65"/>
      <c r="E101" s="80"/>
      <c r="F101" s="80"/>
      <c r="G101" s="29"/>
      <c r="H101" s="31"/>
      <c r="I101" s="32"/>
      <c r="J101" s="78"/>
      <c r="K101" s="46"/>
      <c r="L101" s="78"/>
      <c r="M101" s="65"/>
      <c r="N101" s="81"/>
      <c r="O101" s="6"/>
      <c r="P101" s="6"/>
      <c r="Q101" s="6"/>
      <c r="R101" s="6"/>
      <c r="S101" s="6"/>
    </row>
    <row r="102" ht="16.5" customHeight="1">
      <c r="A102" s="21"/>
      <c r="B102" s="22"/>
      <c r="C102" s="77" t="s">
        <v>196</v>
      </c>
      <c r="D102" s="62" t="s">
        <v>8</v>
      </c>
      <c r="E102" s="63" t="s">
        <v>127</v>
      </c>
      <c r="F102" s="63"/>
      <c r="G102" s="63"/>
      <c r="H102" s="63"/>
      <c r="I102" s="40"/>
      <c r="J102" s="40"/>
      <c r="K102" s="78"/>
      <c r="L102" s="79"/>
      <c r="M102" s="6"/>
      <c r="N102" s="6"/>
      <c r="O102" s="6"/>
      <c r="P102" s="6"/>
      <c r="Q102" s="6"/>
      <c r="R102" s="6"/>
      <c r="S102" s="6"/>
    </row>
    <row r="103" ht="16.5" customHeight="1">
      <c r="A103" s="26" t="s">
        <v>79</v>
      </c>
      <c r="B103" s="64">
        <v>6.164004695953E12</v>
      </c>
      <c r="C103" s="65" t="s">
        <v>197</v>
      </c>
      <c r="D103" s="65" t="s">
        <v>83</v>
      </c>
      <c r="E103" s="80">
        <v>13200.0</v>
      </c>
      <c r="F103" s="80"/>
      <c r="G103" s="29">
        <f t="shared" ref="G103:G107" si="53">E103*1.1</f>
        <v>14520</v>
      </c>
      <c r="H103" s="31">
        <f t="shared" ref="H103:H107" si="54">G103+2000</f>
        <v>16520</v>
      </c>
      <c r="I103" s="32">
        <v>8.0</v>
      </c>
      <c r="J103" s="46">
        <v>16.0</v>
      </c>
      <c r="K103" s="46">
        <v>40.0</v>
      </c>
      <c r="L103" s="78"/>
      <c r="M103" s="65"/>
      <c r="N103" s="81"/>
      <c r="O103" s="6"/>
      <c r="P103" s="6"/>
      <c r="Q103" s="6"/>
      <c r="R103" s="6"/>
      <c r="S103" s="6"/>
    </row>
    <row r="104" ht="16.5" customHeight="1">
      <c r="A104" s="26" t="s">
        <v>82</v>
      </c>
      <c r="B104" s="64">
        <v>6.16400469596E12</v>
      </c>
      <c r="C104" s="65" t="s">
        <v>198</v>
      </c>
      <c r="D104" s="65" t="s">
        <v>121</v>
      </c>
      <c r="E104" s="80">
        <v>13200.0</v>
      </c>
      <c r="F104" s="80"/>
      <c r="G104" s="29">
        <f t="shared" si="53"/>
        <v>14520</v>
      </c>
      <c r="H104" s="31">
        <f t="shared" si="54"/>
        <v>16520</v>
      </c>
      <c r="I104" s="32">
        <v>8.0</v>
      </c>
      <c r="J104" s="46">
        <v>16.0</v>
      </c>
      <c r="K104" s="46">
        <v>40.0</v>
      </c>
      <c r="L104" s="78"/>
      <c r="M104" s="65"/>
      <c r="N104" s="81"/>
      <c r="O104" s="6"/>
      <c r="P104" s="6"/>
      <c r="Q104" s="6"/>
      <c r="R104" s="6"/>
      <c r="S104" s="6"/>
    </row>
    <row r="105" ht="16.5" customHeight="1">
      <c r="A105" s="26" t="s">
        <v>84</v>
      </c>
      <c r="B105" s="64">
        <v>6.164004695977E12</v>
      </c>
      <c r="C105" s="65" t="s">
        <v>199</v>
      </c>
      <c r="D105" s="65" t="s">
        <v>121</v>
      </c>
      <c r="E105" s="80">
        <v>13200.0</v>
      </c>
      <c r="F105" s="80"/>
      <c r="G105" s="29">
        <f t="shared" si="53"/>
        <v>14520</v>
      </c>
      <c r="H105" s="31">
        <f t="shared" si="54"/>
        <v>16520</v>
      </c>
      <c r="I105" s="32">
        <v>4.0</v>
      </c>
      <c r="J105" s="46">
        <v>8.0</v>
      </c>
      <c r="K105" s="46">
        <v>24.0</v>
      </c>
      <c r="L105" s="78"/>
      <c r="M105" s="65"/>
      <c r="N105" s="81"/>
      <c r="O105" s="6"/>
      <c r="P105" s="6"/>
      <c r="Q105" s="6"/>
      <c r="R105" s="6"/>
      <c r="S105" s="6"/>
    </row>
    <row r="106" ht="16.5" customHeight="1">
      <c r="A106" s="26" t="s">
        <v>86</v>
      </c>
      <c r="B106" s="64">
        <v>6.161115450891E12</v>
      </c>
      <c r="C106" s="65" t="s">
        <v>200</v>
      </c>
      <c r="D106" s="65" t="s">
        <v>189</v>
      </c>
      <c r="E106" s="80">
        <v>22000.0</v>
      </c>
      <c r="F106" s="80"/>
      <c r="G106" s="29">
        <f t="shared" si="53"/>
        <v>24200</v>
      </c>
      <c r="H106" s="31">
        <f t="shared" si="54"/>
        <v>26200</v>
      </c>
      <c r="I106" s="32">
        <v>4.0</v>
      </c>
      <c r="J106" s="46">
        <v>8.0</v>
      </c>
      <c r="K106" s="46">
        <v>24.0</v>
      </c>
      <c r="L106" s="78"/>
      <c r="M106" s="65"/>
      <c r="N106" s="81"/>
      <c r="O106" s="6"/>
      <c r="P106" s="6"/>
      <c r="Q106" s="6"/>
      <c r="R106" s="6"/>
      <c r="S106" s="6"/>
    </row>
    <row r="107" ht="16.5" customHeight="1">
      <c r="A107" s="26" t="s">
        <v>87</v>
      </c>
      <c r="B107" s="64">
        <v>6.164004695946E12</v>
      </c>
      <c r="C107" s="65" t="s">
        <v>200</v>
      </c>
      <c r="D107" s="65" t="s">
        <v>83</v>
      </c>
      <c r="E107" s="80">
        <v>13200.0</v>
      </c>
      <c r="F107" s="80"/>
      <c r="G107" s="29">
        <f t="shared" si="53"/>
        <v>14520</v>
      </c>
      <c r="H107" s="31">
        <f t="shared" si="54"/>
        <v>16520</v>
      </c>
      <c r="I107" s="32">
        <v>8.0</v>
      </c>
      <c r="J107" s="46">
        <v>16.0</v>
      </c>
      <c r="K107" s="46">
        <v>40.0</v>
      </c>
      <c r="L107" s="78"/>
      <c r="M107" s="65"/>
      <c r="N107" s="81"/>
      <c r="O107" s="6"/>
      <c r="P107" s="6"/>
      <c r="Q107" s="6"/>
      <c r="R107" s="6"/>
      <c r="S107" s="6"/>
    </row>
    <row r="108" ht="16.5" customHeight="1">
      <c r="A108" s="26"/>
      <c r="B108" s="64"/>
      <c r="C108" s="65"/>
      <c r="D108" s="65"/>
      <c r="E108" s="80"/>
      <c r="F108" s="80"/>
      <c r="G108" s="29"/>
      <c r="H108" s="31"/>
      <c r="I108" s="32"/>
      <c r="J108" s="78"/>
      <c r="K108" s="46"/>
      <c r="L108" s="79"/>
      <c r="M108" s="6"/>
      <c r="N108" s="6"/>
      <c r="O108" s="6"/>
      <c r="P108" s="6"/>
      <c r="Q108" s="6"/>
      <c r="R108" s="6"/>
      <c r="S108" s="6"/>
    </row>
    <row r="109" ht="16.5" customHeight="1">
      <c r="A109" s="21"/>
      <c r="B109" s="22"/>
      <c r="C109" s="77" t="s">
        <v>201</v>
      </c>
      <c r="D109" s="62" t="s">
        <v>8</v>
      </c>
      <c r="E109" s="63" t="s">
        <v>127</v>
      </c>
      <c r="F109" s="63"/>
      <c r="G109" s="63"/>
      <c r="H109" s="63"/>
      <c r="I109" s="40"/>
      <c r="J109" s="40"/>
      <c r="K109" s="78"/>
      <c r="L109" s="79"/>
      <c r="M109" s="6"/>
      <c r="N109" s="6"/>
      <c r="O109" s="6"/>
      <c r="P109" s="6"/>
      <c r="Q109" s="6"/>
      <c r="R109" s="6"/>
      <c r="S109" s="6"/>
    </row>
    <row r="110" ht="15.75" customHeight="1">
      <c r="A110" s="26" t="s">
        <v>202</v>
      </c>
      <c r="B110" s="27">
        <v>6.16111545169E12</v>
      </c>
      <c r="C110" s="28" t="s">
        <v>203</v>
      </c>
      <c r="D110" s="82" t="s">
        <v>204</v>
      </c>
      <c r="E110" s="42">
        <v>17600.0</v>
      </c>
      <c r="F110" s="42"/>
      <c r="G110" s="29">
        <f t="shared" ref="G110:G117" si="55">E110*1.1</f>
        <v>19360</v>
      </c>
      <c r="H110" s="31">
        <f t="shared" ref="H110:H117" si="56">G110+2000</f>
        <v>21360</v>
      </c>
      <c r="I110" s="46" t="s">
        <v>190</v>
      </c>
      <c r="J110" s="46" t="s">
        <v>195</v>
      </c>
      <c r="K110" s="46">
        <v>20.0</v>
      </c>
      <c r="L110" s="46">
        <v>80000.0</v>
      </c>
      <c r="M110" s="47">
        <v>160000.0</v>
      </c>
      <c r="N110" s="48">
        <v>320000.0</v>
      </c>
      <c r="O110" s="6"/>
      <c r="P110" s="6"/>
      <c r="Q110" s="6"/>
      <c r="R110" s="6"/>
      <c r="S110" s="6"/>
    </row>
    <row r="111" ht="16.5" customHeight="1">
      <c r="A111" s="26" t="s">
        <v>205</v>
      </c>
      <c r="B111" s="27">
        <v>6.161115451706E12</v>
      </c>
      <c r="C111" s="28" t="s">
        <v>206</v>
      </c>
      <c r="D111" s="82" t="s">
        <v>204</v>
      </c>
      <c r="E111" s="42">
        <v>18700.0</v>
      </c>
      <c r="F111" s="42"/>
      <c r="G111" s="29">
        <f t="shared" si="55"/>
        <v>20570</v>
      </c>
      <c r="H111" s="31">
        <f t="shared" si="56"/>
        <v>22570</v>
      </c>
      <c r="I111" s="46" t="s">
        <v>190</v>
      </c>
      <c r="J111" s="32" t="s">
        <v>195</v>
      </c>
      <c r="K111" s="46">
        <v>20.0</v>
      </c>
      <c r="L111" s="46"/>
      <c r="M111" s="47"/>
      <c r="N111" s="48"/>
      <c r="O111" s="6"/>
      <c r="P111" s="6"/>
      <c r="Q111" s="6"/>
      <c r="R111" s="6"/>
      <c r="S111" s="6"/>
    </row>
    <row r="112" ht="16.5" customHeight="1">
      <c r="A112" s="26" t="s">
        <v>207</v>
      </c>
      <c r="B112" s="27">
        <v>6.161115451713E12</v>
      </c>
      <c r="C112" s="28" t="s">
        <v>208</v>
      </c>
      <c r="D112" s="82" t="s">
        <v>204</v>
      </c>
      <c r="E112" s="42">
        <v>20900.0</v>
      </c>
      <c r="F112" s="42"/>
      <c r="G112" s="29">
        <f t="shared" si="55"/>
        <v>22990</v>
      </c>
      <c r="H112" s="31">
        <f t="shared" si="56"/>
        <v>24990</v>
      </c>
      <c r="I112" s="46" t="s">
        <v>190</v>
      </c>
      <c r="J112" s="46" t="s">
        <v>191</v>
      </c>
      <c r="K112" s="46">
        <v>20.0</v>
      </c>
      <c r="L112" s="46"/>
      <c r="M112" s="47"/>
      <c r="N112" s="48"/>
      <c r="O112" s="6"/>
      <c r="P112" s="6"/>
      <c r="Q112" s="6"/>
      <c r="R112" s="6"/>
      <c r="S112" s="6"/>
    </row>
    <row r="113" ht="16.5" customHeight="1">
      <c r="A113" s="26" t="s">
        <v>209</v>
      </c>
      <c r="B113" s="27">
        <v>6.16111545172E12</v>
      </c>
      <c r="C113" s="28" t="s">
        <v>210</v>
      </c>
      <c r="D113" s="82" t="s">
        <v>204</v>
      </c>
      <c r="E113" s="42">
        <v>20900.0</v>
      </c>
      <c r="F113" s="42"/>
      <c r="G113" s="29">
        <f t="shared" si="55"/>
        <v>22990</v>
      </c>
      <c r="H113" s="31">
        <f t="shared" si="56"/>
        <v>24990</v>
      </c>
      <c r="I113" s="46" t="s">
        <v>190</v>
      </c>
      <c r="J113" s="46" t="s">
        <v>195</v>
      </c>
      <c r="K113" s="46">
        <v>20.0</v>
      </c>
      <c r="L113" s="46"/>
      <c r="M113" s="47"/>
      <c r="N113" s="48"/>
      <c r="O113" s="6"/>
      <c r="P113" s="6"/>
      <c r="Q113" s="6"/>
      <c r="R113" s="6"/>
      <c r="S113" s="6"/>
    </row>
    <row r="114" ht="16.5" customHeight="1">
      <c r="A114" s="26" t="s">
        <v>211</v>
      </c>
      <c r="B114" s="27">
        <v>6.161115451737E12</v>
      </c>
      <c r="C114" s="28" t="s">
        <v>212</v>
      </c>
      <c r="D114" s="82" t="s">
        <v>204</v>
      </c>
      <c r="E114" s="42">
        <v>27500.0</v>
      </c>
      <c r="F114" s="42"/>
      <c r="G114" s="29">
        <f t="shared" si="55"/>
        <v>30250</v>
      </c>
      <c r="H114" s="31">
        <f t="shared" si="56"/>
        <v>32250</v>
      </c>
      <c r="I114" s="46" t="s">
        <v>190</v>
      </c>
      <c r="J114" s="46" t="s">
        <v>191</v>
      </c>
      <c r="K114" s="46">
        <v>20.0</v>
      </c>
      <c r="L114" s="46"/>
      <c r="M114" s="47"/>
      <c r="N114" s="48"/>
      <c r="O114" s="6"/>
      <c r="P114" s="6"/>
      <c r="Q114" s="6"/>
      <c r="R114" s="6"/>
      <c r="S114" s="6"/>
    </row>
    <row r="115" ht="16.5" customHeight="1">
      <c r="A115" s="26" t="s">
        <v>213</v>
      </c>
      <c r="B115" s="27">
        <v>6.161115451744E12</v>
      </c>
      <c r="C115" s="28" t="s">
        <v>214</v>
      </c>
      <c r="D115" s="82" t="s">
        <v>204</v>
      </c>
      <c r="E115" s="42">
        <v>22000.0</v>
      </c>
      <c r="F115" s="42"/>
      <c r="G115" s="29">
        <f t="shared" si="55"/>
        <v>24200</v>
      </c>
      <c r="H115" s="31">
        <f t="shared" si="56"/>
        <v>26200</v>
      </c>
      <c r="I115" s="46" t="s">
        <v>190</v>
      </c>
      <c r="J115" s="46" t="s">
        <v>195</v>
      </c>
      <c r="K115" s="46">
        <v>20.0</v>
      </c>
      <c r="L115" s="46"/>
      <c r="M115" s="47"/>
      <c r="N115" s="48"/>
      <c r="O115" s="6"/>
      <c r="P115" s="6"/>
      <c r="Q115" s="6"/>
      <c r="R115" s="6"/>
      <c r="S115" s="6"/>
    </row>
    <row r="116" ht="16.5" customHeight="1">
      <c r="A116" s="26" t="s">
        <v>215</v>
      </c>
      <c r="B116" s="27">
        <v>2.010050709E9</v>
      </c>
      <c r="C116" s="28" t="s">
        <v>216</v>
      </c>
      <c r="D116" s="28" t="s">
        <v>217</v>
      </c>
      <c r="E116" s="42">
        <v>237000.0</v>
      </c>
      <c r="F116" s="42"/>
      <c r="G116" s="29">
        <f t="shared" si="55"/>
        <v>260700</v>
      </c>
      <c r="H116" s="31">
        <f t="shared" si="56"/>
        <v>262700</v>
      </c>
      <c r="I116" s="46"/>
      <c r="J116" s="46"/>
      <c r="K116" s="46"/>
      <c r="L116" s="46"/>
      <c r="M116" s="47"/>
      <c r="N116" s="48"/>
      <c r="O116" s="6"/>
      <c r="P116" s="6"/>
      <c r="Q116" s="6"/>
      <c r="R116" s="6"/>
      <c r="S116" s="6"/>
    </row>
    <row r="117" ht="16.5" customHeight="1">
      <c r="A117" s="26" t="s">
        <v>218</v>
      </c>
      <c r="B117" s="27">
        <v>2.010067707E9</v>
      </c>
      <c r="C117" s="28" t="s">
        <v>219</v>
      </c>
      <c r="D117" s="28" t="s">
        <v>217</v>
      </c>
      <c r="E117" s="42">
        <v>316000.0</v>
      </c>
      <c r="F117" s="42"/>
      <c r="G117" s="29">
        <f t="shared" si="55"/>
        <v>347600</v>
      </c>
      <c r="H117" s="31">
        <f t="shared" si="56"/>
        <v>349600</v>
      </c>
      <c r="I117" s="46"/>
      <c r="J117" s="46"/>
      <c r="K117" s="46"/>
      <c r="L117" s="46"/>
      <c r="M117" s="47"/>
      <c r="N117" s="48"/>
      <c r="O117" s="6"/>
      <c r="P117" s="6"/>
      <c r="Q117" s="6"/>
      <c r="R117" s="6"/>
      <c r="S117" s="6"/>
    </row>
    <row r="118" ht="15.0" customHeight="1">
      <c r="A118" s="26"/>
      <c r="B118" s="26"/>
      <c r="C118" s="28"/>
      <c r="D118" s="28"/>
      <c r="E118" s="28"/>
      <c r="F118" s="28"/>
      <c r="G118" s="29"/>
      <c r="H118" s="31"/>
      <c r="I118" s="46"/>
      <c r="J118" s="46"/>
      <c r="K118" s="46"/>
      <c r="L118" s="13"/>
      <c r="M118" s="6"/>
      <c r="N118" s="6"/>
      <c r="O118" s="6"/>
      <c r="P118" s="6"/>
      <c r="Q118" s="6"/>
      <c r="R118" s="6"/>
      <c r="S118" s="6"/>
    </row>
    <row r="119" ht="24.0" customHeight="1">
      <c r="A119" s="26"/>
      <c r="B119" s="64"/>
      <c r="C119" s="83" t="s">
        <v>220</v>
      </c>
      <c r="D119" s="4"/>
      <c r="E119" s="4"/>
      <c r="F119" s="11"/>
      <c r="G119" s="84"/>
      <c r="H119" s="85"/>
      <c r="I119" s="75"/>
      <c r="J119" s="4"/>
      <c r="K119" s="4"/>
      <c r="L119" s="5"/>
      <c r="M119" s="6"/>
      <c r="N119" s="6"/>
      <c r="O119" s="6"/>
      <c r="P119" s="6"/>
      <c r="Q119" s="6"/>
      <c r="R119" s="6"/>
      <c r="S119" s="6"/>
    </row>
    <row r="120" ht="16.5" customHeight="1">
      <c r="A120" s="21"/>
      <c r="B120" s="22"/>
      <c r="C120" s="77" t="s">
        <v>7</v>
      </c>
      <c r="D120" s="62" t="s">
        <v>8</v>
      </c>
      <c r="E120" s="63" t="s">
        <v>127</v>
      </c>
      <c r="F120" s="63"/>
      <c r="G120" s="63"/>
      <c r="H120" s="63"/>
      <c r="I120" s="40"/>
      <c r="J120" s="40"/>
      <c r="K120" s="78"/>
      <c r="L120" s="79"/>
      <c r="M120" s="6"/>
      <c r="N120" s="6"/>
      <c r="O120" s="6"/>
      <c r="P120" s="6"/>
      <c r="Q120" s="6"/>
      <c r="R120" s="6"/>
      <c r="S120" s="6"/>
    </row>
    <row r="121" ht="16.5" customHeight="1">
      <c r="A121" s="26" t="s">
        <v>221</v>
      </c>
      <c r="B121" s="27">
        <v>6.161115451126E12</v>
      </c>
      <c r="C121" s="28" t="s">
        <v>67</v>
      </c>
      <c r="D121" s="28" t="s">
        <v>68</v>
      </c>
      <c r="E121" s="29">
        <f t="shared" ref="E121:E122" si="57">F121/1.18</f>
        <v>8813.559322</v>
      </c>
      <c r="F121" s="29">
        <v>10400.0</v>
      </c>
      <c r="G121" s="29">
        <f t="shared" ref="G121:G122" si="58">F121*1.1</f>
        <v>11440</v>
      </c>
      <c r="H121" s="31">
        <f t="shared" ref="H121:H122" si="59">G121+2000</f>
        <v>13440</v>
      </c>
      <c r="I121" s="32">
        <v>8.0</v>
      </c>
      <c r="J121" s="33">
        <v>16.0</v>
      </c>
      <c r="K121" s="33">
        <v>24.0</v>
      </c>
      <c r="L121" s="34"/>
      <c r="M121" s="29"/>
      <c r="N121" s="35"/>
      <c r="O121" s="6"/>
      <c r="P121" s="6"/>
      <c r="Q121" s="6"/>
      <c r="R121" s="6"/>
      <c r="S121" s="6"/>
    </row>
    <row r="122" ht="16.5" customHeight="1">
      <c r="A122" s="26" t="s">
        <v>222</v>
      </c>
      <c r="B122" s="27">
        <v>6.161115451119E12</v>
      </c>
      <c r="C122" s="28" t="s">
        <v>65</v>
      </c>
      <c r="D122" s="28" t="s">
        <v>68</v>
      </c>
      <c r="E122" s="29">
        <f t="shared" si="57"/>
        <v>8813.559322</v>
      </c>
      <c r="F122" s="29">
        <v>10400.0</v>
      </c>
      <c r="G122" s="29">
        <f t="shared" si="58"/>
        <v>11440</v>
      </c>
      <c r="H122" s="31">
        <f t="shared" si="59"/>
        <v>13440</v>
      </c>
      <c r="I122" s="32">
        <v>8.0</v>
      </c>
      <c r="J122" s="33">
        <v>16.0</v>
      </c>
      <c r="K122" s="33">
        <v>24.0</v>
      </c>
      <c r="L122" s="34"/>
      <c r="M122" s="29"/>
      <c r="N122" s="35"/>
      <c r="O122" s="6"/>
      <c r="P122" s="6"/>
      <c r="Q122" s="6"/>
      <c r="R122" s="6"/>
      <c r="S122" s="6"/>
    </row>
    <row r="123" ht="16.5" customHeight="1">
      <c r="A123" s="26"/>
      <c r="B123" s="64"/>
      <c r="C123" s="65"/>
      <c r="D123" s="65"/>
      <c r="E123" s="80"/>
      <c r="F123" s="80"/>
      <c r="G123" s="29"/>
      <c r="H123" s="31"/>
      <c r="I123" s="32"/>
      <c r="J123" s="78"/>
      <c r="K123" s="78"/>
      <c r="L123" s="79"/>
      <c r="M123" s="6"/>
      <c r="N123" s="6"/>
      <c r="O123" s="6"/>
      <c r="P123" s="6"/>
      <c r="Q123" s="6"/>
      <c r="R123" s="6"/>
      <c r="S123" s="6"/>
    </row>
    <row r="124" ht="16.5" customHeight="1">
      <c r="A124" s="21"/>
      <c r="B124" s="22"/>
      <c r="C124" s="77" t="s">
        <v>77</v>
      </c>
      <c r="D124" s="62" t="s">
        <v>8</v>
      </c>
      <c r="E124" s="63" t="s">
        <v>127</v>
      </c>
      <c r="F124" s="63"/>
      <c r="G124" s="63"/>
      <c r="H124" s="63"/>
      <c r="I124" s="40"/>
      <c r="J124" s="40"/>
      <c r="K124" s="78"/>
      <c r="L124" s="79"/>
      <c r="M124" s="6"/>
      <c r="N124" s="6"/>
      <c r="O124" s="6"/>
      <c r="P124" s="6"/>
      <c r="Q124" s="6"/>
      <c r="R124" s="6"/>
      <c r="S124" s="6"/>
    </row>
    <row r="125" ht="16.5" customHeight="1">
      <c r="A125" s="26" t="s">
        <v>223</v>
      </c>
      <c r="B125" s="27">
        <v>6.161115451133E12</v>
      </c>
      <c r="C125" s="28" t="s">
        <v>80</v>
      </c>
      <c r="D125" s="28" t="s">
        <v>224</v>
      </c>
      <c r="E125" s="42">
        <f t="shared" ref="E125:E127" si="60">F125/1.18</f>
        <v>11694.91525</v>
      </c>
      <c r="F125" s="42">
        <v>13800.0</v>
      </c>
      <c r="G125" s="29">
        <f t="shared" ref="G125:G127" si="61">F125*1.1</f>
        <v>15180</v>
      </c>
      <c r="H125" s="31">
        <f t="shared" ref="H125:H127" si="62">G125+2000</f>
        <v>17180</v>
      </c>
      <c r="I125" s="32">
        <v>6.0</v>
      </c>
      <c r="J125" s="33">
        <v>24.0</v>
      </c>
      <c r="K125" s="33">
        <v>40.0</v>
      </c>
      <c r="L125" s="44"/>
      <c r="M125" s="42"/>
      <c r="N125" s="45"/>
      <c r="O125" s="6"/>
      <c r="P125" s="6"/>
      <c r="Q125" s="6"/>
      <c r="R125" s="6"/>
      <c r="S125" s="6"/>
    </row>
    <row r="126" ht="16.5" customHeight="1">
      <c r="A126" s="26" t="s">
        <v>225</v>
      </c>
      <c r="B126" s="27">
        <v>6.16111545114E12</v>
      </c>
      <c r="C126" s="28" t="s">
        <v>85</v>
      </c>
      <c r="D126" s="28" t="s">
        <v>224</v>
      </c>
      <c r="E126" s="42">
        <f t="shared" si="60"/>
        <v>11694.91525</v>
      </c>
      <c r="F126" s="42">
        <v>13800.0</v>
      </c>
      <c r="G126" s="29">
        <f t="shared" si="61"/>
        <v>15180</v>
      </c>
      <c r="H126" s="31">
        <f t="shared" si="62"/>
        <v>17180</v>
      </c>
      <c r="I126" s="32">
        <v>6.0</v>
      </c>
      <c r="J126" s="33">
        <v>24.0</v>
      </c>
      <c r="K126" s="33">
        <v>40.0</v>
      </c>
      <c r="L126" s="44"/>
      <c r="M126" s="42"/>
      <c r="N126" s="45"/>
      <c r="O126" s="6"/>
      <c r="P126" s="6"/>
      <c r="Q126" s="6"/>
      <c r="R126" s="6"/>
      <c r="S126" s="6"/>
    </row>
    <row r="127" ht="16.5" customHeight="1">
      <c r="A127" s="26" t="s">
        <v>226</v>
      </c>
      <c r="B127" s="27">
        <v>6.164004695779E12</v>
      </c>
      <c r="C127" s="28" t="s">
        <v>96</v>
      </c>
      <c r="D127" s="28" t="s">
        <v>224</v>
      </c>
      <c r="E127" s="42">
        <f t="shared" si="60"/>
        <v>10254.23729</v>
      </c>
      <c r="F127" s="42">
        <v>12100.0</v>
      </c>
      <c r="G127" s="29">
        <f t="shared" si="61"/>
        <v>13310</v>
      </c>
      <c r="H127" s="31">
        <f t="shared" si="62"/>
        <v>15310</v>
      </c>
      <c r="I127" s="32">
        <v>6.0</v>
      </c>
      <c r="J127" s="33">
        <v>24.0</v>
      </c>
      <c r="K127" s="33">
        <v>40.0</v>
      </c>
      <c r="L127" s="44"/>
      <c r="M127" s="42"/>
      <c r="N127" s="45"/>
      <c r="O127" s="6"/>
      <c r="P127" s="6"/>
      <c r="Q127" s="6"/>
      <c r="R127" s="6"/>
      <c r="S127" s="6"/>
    </row>
    <row r="128" ht="16.5" customHeight="1">
      <c r="A128" s="26"/>
      <c r="B128" s="64"/>
      <c r="C128" s="65"/>
      <c r="D128" s="65"/>
      <c r="E128" s="80"/>
      <c r="F128" s="80"/>
      <c r="G128" s="29"/>
      <c r="H128" s="31"/>
      <c r="I128" s="32"/>
      <c r="J128" s="33"/>
      <c r="K128" s="33"/>
      <c r="L128" s="79"/>
      <c r="M128" s="6"/>
      <c r="N128" s="6"/>
      <c r="O128" s="6"/>
      <c r="P128" s="6"/>
      <c r="Q128" s="6"/>
      <c r="R128" s="6"/>
      <c r="S128" s="6"/>
    </row>
    <row r="129" ht="16.5" customHeight="1">
      <c r="A129" s="21"/>
      <c r="B129" s="22"/>
      <c r="C129" s="77" t="s">
        <v>227</v>
      </c>
      <c r="D129" s="62" t="s">
        <v>8</v>
      </c>
      <c r="E129" s="63" t="s">
        <v>127</v>
      </c>
      <c r="F129" s="63"/>
      <c r="G129" s="63"/>
      <c r="H129" s="63"/>
      <c r="I129" s="40"/>
      <c r="J129" s="33"/>
      <c r="K129" s="40"/>
      <c r="L129" s="40"/>
      <c r="M129" s="63"/>
      <c r="N129" s="63"/>
      <c r="O129" s="6"/>
      <c r="P129" s="6"/>
      <c r="Q129" s="6"/>
      <c r="R129" s="6"/>
      <c r="S129" s="6"/>
    </row>
    <row r="130" ht="16.5" customHeight="1">
      <c r="A130" s="26" t="s">
        <v>228</v>
      </c>
      <c r="B130" s="64">
        <v>6.161115451492E12</v>
      </c>
      <c r="C130" s="65" t="s">
        <v>171</v>
      </c>
      <c r="D130" s="28" t="s">
        <v>130</v>
      </c>
      <c r="E130" s="66">
        <f t="shared" ref="E130:E132" si="63">F130/1.18</f>
        <v>7966.101695</v>
      </c>
      <c r="F130" s="66">
        <v>9400.0</v>
      </c>
      <c r="G130" s="29">
        <f t="shared" ref="G130:G132" si="64">F130*1.1</f>
        <v>10340</v>
      </c>
      <c r="H130" s="31">
        <f t="shared" ref="H130:H132" si="65">G130+2000</f>
        <v>12340</v>
      </c>
      <c r="I130" s="32">
        <v>12.0</v>
      </c>
      <c r="J130" s="33">
        <v>24.0</v>
      </c>
      <c r="K130" s="33">
        <v>60.0</v>
      </c>
      <c r="L130" s="44"/>
      <c r="M130" s="45"/>
      <c r="N130" s="67"/>
      <c r="O130" s="6"/>
      <c r="P130" s="6"/>
      <c r="Q130" s="6"/>
      <c r="R130" s="6"/>
      <c r="S130" s="6"/>
    </row>
    <row r="131" ht="16.5" customHeight="1">
      <c r="A131" s="26" t="s">
        <v>229</v>
      </c>
      <c r="B131" s="64">
        <v>6.161115451508E12</v>
      </c>
      <c r="C131" s="65" t="s">
        <v>230</v>
      </c>
      <c r="D131" s="28" t="s">
        <v>130</v>
      </c>
      <c r="E131" s="66">
        <f t="shared" si="63"/>
        <v>7966.101695</v>
      </c>
      <c r="F131" s="66">
        <v>9400.0</v>
      </c>
      <c r="G131" s="29">
        <f t="shared" si="64"/>
        <v>10340</v>
      </c>
      <c r="H131" s="31">
        <f t="shared" si="65"/>
        <v>12340</v>
      </c>
      <c r="I131" s="32">
        <v>12.0</v>
      </c>
      <c r="J131" s="33">
        <v>24.0</v>
      </c>
      <c r="K131" s="33">
        <v>60.0</v>
      </c>
      <c r="L131" s="44"/>
      <c r="M131" s="45"/>
      <c r="N131" s="67"/>
      <c r="O131" s="6"/>
      <c r="P131" s="6"/>
      <c r="Q131" s="6"/>
      <c r="R131" s="6"/>
      <c r="S131" s="6"/>
    </row>
    <row r="132" ht="16.5" customHeight="1">
      <c r="A132" s="26" t="s">
        <v>231</v>
      </c>
      <c r="B132" s="64">
        <v>6.16111545185E12</v>
      </c>
      <c r="C132" s="65" t="s">
        <v>173</v>
      </c>
      <c r="D132" s="28" t="s">
        <v>130</v>
      </c>
      <c r="E132" s="66">
        <f t="shared" si="63"/>
        <v>11694.91525</v>
      </c>
      <c r="F132" s="80">
        <v>13800.0</v>
      </c>
      <c r="G132" s="29">
        <f t="shared" si="64"/>
        <v>15180</v>
      </c>
      <c r="H132" s="31">
        <f t="shared" si="65"/>
        <v>17180</v>
      </c>
      <c r="I132" s="32">
        <v>12.0</v>
      </c>
      <c r="J132" s="33">
        <v>24.0</v>
      </c>
      <c r="K132" s="33">
        <v>60.0</v>
      </c>
      <c r="L132" s="79"/>
      <c r="M132" s="6"/>
      <c r="N132" s="6"/>
      <c r="O132" s="6"/>
      <c r="P132" s="6"/>
      <c r="Q132" s="6"/>
      <c r="R132" s="6"/>
      <c r="S132" s="6"/>
    </row>
    <row r="133" ht="16.5" customHeight="1">
      <c r="A133" s="26"/>
      <c r="B133" s="64"/>
      <c r="C133" s="65"/>
      <c r="D133" s="65"/>
      <c r="E133" s="80"/>
      <c r="F133" s="80"/>
      <c r="G133" s="29"/>
      <c r="H133" s="31"/>
      <c r="I133" s="32"/>
      <c r="J133" s="33"/>
      <c r="K133" s="78"/>
      <c r="L133" s="79"/>
      <c r="M133" s="6"/>
      <c r="N133" s="6"/>
      <c r="O133" s="6"/>
      <c r="P133" s="6"/>
      <c r="Q133" s="6"/>
      <c r="R133" s="6"/>
      <c r="S133" s="6"/>
    </row>
    <row r="134" ht="16.5" customHeight="1">
      <c r="A134" s="21"/>
      <c r="B134" s="22"/>
      <c r="C134" s="77" t="s">
        <v>232</v>
      </c>
      <c r="D134" s="62" t="s">
        <v>8</v>
      </c>
      <c r="E134" s="63" t="s">
        <v>127</v>
      </c>
      <c r="F134" s="63"/>
      <c r="G134" s="63"/>
      <c r="H134" s="63"/>
      <c r="I134" s="40"/>
      <c r="J134" s="33"/>
      <c r="K134" s="78"/>
      <c r="L134" s="79"/>
      <c r="M134" s="6"/>
      <c r="N134" s="6"/>
      <c r="O134" s="6"/>
      <c r="P134" s="6"/>
      <c r="Q134" s="6"/>
      <c r="R134" s="6"/>
      <c r="S134" s="6"/>
    </row>
    <row r="135" ht="16.5" customHeight="1">
      <c r="A135" s="26" t="s">
        <v>233</v>
      </c>
      <c r="B135" s="27">
        <v>6.164004695823E12</v>
      </c>
      <c r="C135" s="28" t="s">
        <v>129</v>
      </c>
      <c r="D135" s="28" t="s">
        <v>130</v>
      </c>
      <c r="E135" s="42">
        <f t="shared" ref="E135:E149" si="66">F135/1.18</f>
        <v>0</v>
      </c>
      <c r="F135" s="42"/>
      <c r="G135" s="30">
        <v>11543.0</v>
      </c>
      <c r="H135" s="31">
        <f t="shared" ref="H135:H149" si="67">G135+2000</f>
        <v>13543</v>
      </c>
      <c r="I135" s="46">
        <v>10.0</v>
      </c>
      <c r="J135" s="33">
        <v>30.0</v>
      </c>
      <c r="K135" s="46">
        <v>60.0</v>
      </c>
      <c r="L135" s="44"/>
      <c r="M135" s="42"/>
      <c r="N135" s="45"/>
      <c r="O135" s="6"/>
      <c r="P135" s="6"/>
      <c r="Q135" s="6"/>
      <c r="R135" s="6"/>
      <c r="S135" s="6"/>
    </row>
    <row r="136" ht="16.5" customHeight="1">
      <c r="A136" s="26" t="s">
        <v>234</v>
      </c>
      <c r="B136" s="27">
        <v>6.16111545086E12</v>
      </c>
      <c r="C136" s="28" t="s">
        <v>132</v>
      </c>
      <c r="D136" s="28" t="s">
        <v>130</v>
      </c>
      <c r="E136" s="42">
        <f t="shared" si="66"/>
        <v>0</v>
      </c>
      <c r="F136" s="42"/>
      <c r="G136" s="29">
        <f t="shared" ref="G136:G137" si="68">F136*1.1</f>
        <v>0</v>
      </c>
      <c r="H136" s="31">
        <f t="shared" si="67"/>
        <v>2000</v>
      </c>
      <c r="I136" s="46">
        <v>10.0</v>
      </c>
      <c r="J136" s="33">
        <v>30.0</v>
      </c>
      <c r="K136" s="46">
        <v>60.0</v>
      </c>
      <c r="L136" s="44"/>
      <c r="M136" s="42"/>
      <c r="N136" s="45"/>
      <c r="O136" s="6"/>
      <c r="P136" s="6"/>
      <c r="Q136" s="6"/>
      <c r="R136" s="6"/>
      <c r="S136" s="6"/>
    </row>
    <row r="137" ht="16.5" customHeight="1">
      <c r="A137" s="26" t="s">
        <v>235</v>
      </c>
      <c r="B137" s="56">
        <v>6.161115450914E12</v>
      </c>
      <c r="C137" s="57" t="s">
        <v>138</v>
      </c>
      <c r="D137" s="53" t="s">
        <v>130</v>
      </c>
      <c r="E137" s="42">
        <f t="shared" si="66"/>
        <v>0</v>
      </c>
      <c r="F137" s="61"/>
      <c r="G137" s="29">
        <f t="shared" si="68"/>
        <v>0</v>
      </c>
      <c r="H137" s="31">
        <f t="shared" si="67"/>
        <v>2000</v>
      </c>
      <c r="I137" s="46">
        <v>10.0</v>
      </c>
      <c r="J137" s="33">
        <v>30.0</v>
      </c>
      <c r="K137" s="46">
        <v>60.0</v>
      </c>
      <c r="L137" s="13"/>
      <c r="M137" s="59"/>
      <c r="N137" s="60"/>
      <c r="O137" s="6"/>
      <c r="P137" s="6"/>
      <c r="Q137" s="6"/>
      <c r="R137" s="6"/>
      <c r="S137" s="6"/>
    </row>
    <row r="138" ht="16.5" customHeight="1">
      <c r="A138" s="26" t="s">
        <v>236</v>
      </c>
      <c r="B138" s="56">
        <v>6.161115451485E12</v>
      </c>
      <c r="C138" s="28" t="s">
        <v>237</v>
      </c>
      <c r="D138" s="53" t="s">
        <v>130</v>
      </c>
      <c r="E138" s="42">
        <f t="shared" si="66"/>
        <v>0</v>
      </c>
      <c r="F138" s="42"/>
      <c r="G138" s="30">
        <v>15400.0</v>
      </c>
      <c r="H138" s="31">
        <f t="shared" si="67"/>
        <v>17400</v>
      </c>
      <c r="I138" s="46">
        <v>10.0</v>
      </c>
      <c r="J138" s="33">
        <v>30.0</v>
      </c>
      <c r="K138" s="46">
        <v>60.0</v>
      </c>
      <c r="L138" s="13"/>
      <c r="M138" s="54"/>
      <c r="N138" s="55"/>
      <c r="O138" s="6"/>
      <c r="P138" s="6"/>
      <c r="Q138" s="6"/>
      <c r="R138" s="6"/>
      <c r="S138" s="6"/>
    </row>
    <row r="139" ht="16.5" customHeight="1">
      <c r="A139" s="26" t="s">
        <v>238</v>
      </c>
      <c r="B139" s="56">
        <v>6.161115451454E12</v>
      </c>
      <c r="C139" s="28" t="s">
        <v>239</v>
      </c>
      <c r="D139" s="53" t="s">
        <v>130</v>
      </c>
      <c r="E139" s="42">
        <f t="shared" si="66"/>
        <v>0</v>
      </c>
      <c r="F139" s="42"/>
      <c r="G139" s="30">
        <v>15400.0</v>
      </c>
      <c r="H139" s="31">
        <f t="shared" si="67"/>
        <v>17400</v>
      </c>
      <c r="I139" s="46">
        <v>10.0</v>
      </c>
      <c r="J139" s="33">
        <v>30.0</v>
      </c>
      <c r="K139" s="46">
        <v>60.0</v>
      </c>
      <c r="L139" s="13"/>
      <c r="M139" s="54"/>
      <c r="N139" s="55"/>
      <c r="O139" s="6"/>
      <c r="P139" s="6"/>
      <c r="Q139" s="6"/>
      <c r="R139" s="6"/>
      <c r="S139" s="6"/>
    </row>
    <row r="140" ht="16.5" customHeight="1">
      <c r="A140" s="26" t="s">
        <v>240</v>
      </c>
      <c r="B140" s="56">
        <v>6.161115451478E12</v>
      </c>
      <c r="C140" s="28" t="s">
        <v>241</v>
      </c>
      <c r="D140" s="53" t="s">
        <v>130</v>
      </c>
      <c r="E140" s="42">
        <f t="shared" si="66"/>
        <v>0</v>
      </c>
      <c r="F140" s="42"/>
      <c r="G140" s="30">
        <v>12760.0</v>
      </c>
      <c r="H140" s="31">
        <f t="shared" si="67"/>
        <v>14760</v>
      </c>
      <c r="I140" s="46">
        <v>10.0</v>
      </c>
      <c r="J140" s="33">
        <v>30.0</v>
      </c>
      <c r="K140" s="46">
        <v>60.0</v>
      </c>
      <c r="L140" s="13"/>
      <c r="M140" s="54"/>
      <c r="N140" s="55"/>
      <c r="O140" s="6"/>
      <c r="P140" s="6"/>
      <c r="Q140" s="6"/>
      <c r="R140" s="6"/>
      <c r="S140" s="6"/>
    </row>
    <row r="141" ht="16.5" customHeight="1">
      <c r="A141" s="26" t="s">
        <v>242</v>
      </c>
      <c r="B141" s="56">
        <v>6.161115451461E12</v>
      </c>
      <c r="C141" s="28" t="s">
        <v>243</v>
      </c>
      <c r="D141" s="53" t="s">
        <v>130</v>
      </c>
      <c r="E141" s="42">
        <f t="shared" si="66"/>
        <v>0</v>
      </c>
      <c r="F141" s="42"/>
      <c r="G141" s="30">
        <v>12760.0</v>
      </c>
      <c r="H141" s="31">
        <f t="shared" si="67"/>
        <v>14760</v>
      </c>
      <c r="I141" s="46">
        <v>10.0</v>
      </c>
      <c r="J141" s="33">
        <v>30.0</v>
      </c>
      <c r="K141" s="46">
        <v>60.0</v>
      </c>
      <c r="L141" s="13"/>
      <c r="M141" s="54"/>
      <c r="N141" s="55"/>
      <c r="O141" s="6"/>
      <c r="P141" s="6"/>
      <c r="Q141" s="6"/>
      <c r="R141" s="6"/>
      <c r="S141" s="6"/>
    </row>
    <row r="142" ht="16.5" customHeight="1">
      <c r="A142" s="26" t="s">
        <v>244</v>
      </c>
      <c r="B142" s="56">
        <v>6.161115451522E12</v>
      </c>
      <c r="C142" s="28" t="s">
        <v>245</v>
      </c>
      <c r="D142" s="53" t="s">
        <v>130</v>
      </c>
      <c r="E142" s="42">
        <f t="shared" si="66"/>
        <v>0</v>
      </c>
      <c r="F142" s="42"/>
      <c r="G142" s="30">
        <v>15180.0</v>
      </c>
      <c r="H142" s="31">
        <f t="shared" si="67"/>
        <v>17180</v>
      </c>
      <c r="I142" s="46">
        <v>10.0</v>
      </c>
      <c r="J142" s="33">
        <v>30.0</v>
      </c>
      <c r="K142" s="46">
        <v>60.0</v>
      </c>
      <c r="L142" s="13"/>
      <c r="M142" s="54"/>
      <c r="N142" s="55"/>
      <c r="O142" s="6"/>
      <c r="P142" s="6"/>
      <c r="Q142" s="6"/>
      <c r="R142" s="6"/>
      <c r="S142" s="6"/>
    </row>
    <row r="143" ht="16.5" customHeight="1">
      <c r="A143" s="26" t="s">
        <v>246</v>
      </c>
      <c r="B143" s="56">
        <v>6.161115450884E12</v>
      </c>
      <c r="C143" s="28" t="s">
        <v>136</v>
      </c>
      <c r="D143" s="53" t="s">
        <v>130</v>
      </c>
      <c r="E143" s="42">
        <f t="shared" si="66"/>
        <v>0</v>
      </c>
      <c r="F143" s="42"/>
      <c r="G143" s="30">
        <v>15180.0</v>
      </c>
      <c r="H143" s="31">
        <f t="shared" si="67"/>
        <v>17180</v>
      </c>
      <c r="I143" s="46">
        <v>10.0</v>
      </c>
      <c r="J143" s="33">
        <v>30.0</v>
      </c>
      <c r="K143" s="46">
        <v>60.0</v>
      </c>
      <c r="L143" s="13"/>
      <c r="M143" s="54"/>
      <c r="N143" s="55"/>
      <c r="O143" s="6"/>
      <c r="P143" s="6"/>
      <c r="Q143" s="6"/>
      <c r="R143" s="6"/>
      <c r="S143" s="6"/>
    </row>
    <row r="144" ht="16.5" customHeight="1">
      <c r="A144" s="26" t="s">
        <v>247</v>
      </c>
      <c r="B144" s="56">
        <v>6.161115451102E12</v>
      </c>
      <c r="C144" s="57" t="s">
        <v>142</v>
      </c>
      <c r="D144" s="53" t="s">
        <v>130</v>
      </c>
      <c r="E144" s="42">
        <f t="shared" si="66"/>
        <v>0</v>
      </c>
      <c r="F144" s="61" t="str">
        <f>F72</f>
        <v/>
      </c>
      <c r="G144" s="29">
        <f t="shared" ref="G144:G149" si="69">F144*1.1</f>
        <v>0</v>
      </c>
      <c r="H144" s="31">
        <f t="shared" si="67"/>
        <v>2000</v>
      </c>
      <c r="I144" s="46">
        <v>10.0</v>
      </c>
      <c r="J144" s="33">
        <v>30.0</v>
      </c>
      <c r="K144" s="46">
        <v>60.0</v>
      </c>
      <c r="L144" s="13"/>
      <c r="M144" s="59"/>
      <c r="N144" s="60"/>
      <c r="O144" s="6"/>
      <c r="P144" s="6"/>
      <c r="Q144" s="6"/>
      <c r="R144" s="6"/>
      <c r="S144" s="6"/>
    </row>
    <row r="145" ht="16.5" customHeight="1">
      <c r="A145" s="26" t="s">
        <v>248</v>
      </c>
      <c r="B145" s="56">
        <v>6.161115451591E12</v>
      </c>
      <c r="C145" s="57" t="s">
        <v>148</v>
      </c>
      <c r="D145" s="53" t="s">
        <v>130</v>
      </c>
      <c r="E145" s="42">
        <f t="shared" si="66"/>
        <v>0</v>
      </c>
      <c r="F145" s="61" t="str">
        <f t="shared" ref="F145:F147" si="70">F76</f>
        <v/>
      </c>
      <c r="G145" s="29">
        <f t="shared" si="69"/>
        <v>0</v>
      </c>
      <c r="H145" s="31">
        <f t="shared" si="67"/>
        <v>2000</v>
      </c>
      <c r="I145" s="46">
        <v>10.0</v>
      </c>
      <c r="J145" s="33">
        <v>30.0</v>
      </c>
      <c r="K145" s="46">
        <v>60.0</v>
      </c>
      <c r="L145" s="13"/>
      <c r="M145" s="59"/>
      <c r="N145" s="60"/>
      <c r="O145" s="6"/>
      <c r="P145" s="6"/>
      <c r="Q145" s="6"/>
      <c r="R145" s="6"/>
      <c r="S145" s="6"/>
    </row>
    <row r="146" ht="16.5" customHeight="1">
      <c r="A146" s="26" t="s">
        <v>249</v>
      </c>
      <c r="B146" s="56">
        <v>6.161115451775E12</v>
      </c>
      <c r="C146" s="57" t="s">
        <v>151</v>
      </c>
      <c r="D146" s="53" t="s">
        <v>130</v>
      </c>
      <c r="E146" s="42">
        <f t="shared" si="66"/>
        <v>0</v>
      </c>
      <c r="F146" s="61" t="str">
        <f t="shared" si="70"/>
        <v/>
      </c>
      <c r="G146" s="29">
        <f t="shared" si="69"/>
        <v>0</v>
      </c>
      <c r="H146" s="31">
        <f t="shared" si="67"/>
        <v>2000</v>
      </c>
      <c r="I146" s="46">
        <v>10.0</v>
      </c>
      <c r="J146" s="33">
        <v>30.0</v>
      </c>
      <c r="K146" s="46">
        <v>60.0</v>
      </c>
      <c r="L146" s="13"/>
      <c r="M146" s="59"/>
      <c r="N146" s="60"/>
      <c r="O146" s="6"/>
      <c r="P146" s="6"/>
      <c r="Q146" s="6"/>
      <c r="R146" s="6"/>
      <c r="S146" s="6"/>
    </row>
    <row r="147" ht="16.5" customHeight="1">
      <c r="A147" s="26" t="s">
        <v>250</v>
      </c>
      <c r="B147" s="56">
        <v>6.161115451768E12</v>
      </c>
      <c r="C147" s="57" t="s">
        <v>153</v>
      </c>
      <c r="D147" s="53" t="s">
        <v>130</v>
      </c>
      <c r="E147" s="42">
        <f t="shared" si="66"/>
        <v>0</v>
      </c>
      <c r="F147" s="61" t="str">
        <f t="shared" si="70"/>
        <v/>
      </c>
      <c r="G147" s="29">
        <f t="shared" si="69"/>
        <v>0</v>
      </c>
      <c r="H147" s="31">
        <f t="shared" si="67"/>
        <v>2000</v>
      </c>
      <c r="I147" s="46">
        <v>10.0</v>
      </c>
      <c r="J147" s="33">
        <v>30.0</v>
      </c>
      <c r="K147" s="46">
        <v>60.0</v>
      </c>
      <c r="L147" s="13"/>
      <c r="M147" s="59"/>
      <c r="N147" s="60"/>
      <c r="O147" s="6"/>
      <c r="P147" s="6"/>
      <c r="Q147" s="6"/>
      <c r="R147" s="6"/>
      <c r="S147" s="6"/>
    </row>
    <row r="148" ht="16.5" customHeight="1">
      <c r="A148" s="26" t="s">
        <v>251</v>
      </c>
      <c r="B148" s="56">
        <v>6.161115451751E12</v>
      </c>
      <c r="C148" s="57" t="s">
        <v>140</v>
      </c>
      <c r="D148" s="53" t="s">
        <v>130</v>
      </c>
      <c r="E148" s="42">
        <f t="shared" si="66"/>
        <v>0</v>
      </c>
      <c r="F148" s="61" t="str">
        <f>F71</f>
        <v/>
      </c>
      <c r="G148" s="29">
        <f t="shared" si="69"/>
        <v>0</v>
      </c>
      <c r="H148" s="31">
        <f t="shared" si="67"/>
        <v>2000</v>
      </c>
      <c r="I148" s="46">
        <v>10.0</v>
      </c>
      <c r="J148" s="33">
        <v>30.0</v>
      </c>
      <c r="K148" s="46">
        <v>60.0</v>
      </c>
      <c r="L148" s="13"/>
      <c r="M148" s="59"/>
      <c r="N148" s="60"/>
      <c r="O148" s="6"/>
      <c r="P148" s="6"/>
      <c r="Q148" s="6"/>
      <c r="R148" s="6"/>
      <c r="S148" s="6"/>
    </row>
    <row r="149" ht="16.5" customHeight="1">
      <c r="A149" s="26" t="s">
        <v>252</v>
      </c>
      <c r="B149" s="56">
        <v>6.161115451805E12</v>
      </c>
      <c r="C149" s="57" t="s">
        <v>155</v>
      </c>
      <c r="D149" s="53" t="s">
        <v>130</v>
      </c>
      <c r="E149" s="42">
        <f t="shared" si="66"/>
        <v>0</v>
      </c>
      <c r="F149" s="61" t="str">
        <f>F79</f>
        <v/>
      </c>
      <c r="G149" s="29">
        <f t="shared" si="69"/>
        <v>0</v>
      </c>
      <c r="H149" s="31">
        <f t="shared" si="67"/>
        <v>2000</v>
      </c>
      <c r="I149" s="46">
        <v>10.0</v>
      </c>
      <c r="J149" s="33">
        <v>30.0</v>
      </c>
      <c r="K149" s="46">
        <v>60.0</v>
      </c>
      <c r="L149" s="13"/>
      <c r="M149" s="59"/>
      <c r="N149" s="60"/>
      <c r="O149" s="6"/>
      <c r="P149" s="6"/>
      <c r="Q149" s="6"/>
      <c r="R149" s="6"/>
      <c r="S149" s="6"/>
    </row>
    <row r="150" ht="16.5" customHeight="1">
      <c r="A150" s="26"/>
      <c r="B150" s="56"/>
      <c r="C150" s="57"/>
      <c r="D150" s="53"/>
      <c r="E150" s="61"/>
      <c r="F150" s="61"/>
      <c r="G150" s="29"/>
      <c r="H150" s="31"/>
      <c r="I150" s="46"/>
      <c r="J150" s="40"/>
      <c r="K150" s="40"/>
      <c r="L150" s="86"/>
      <c r="M150" s="87"/>
      <c r="N150" s="87"/>
      <c r="O150" s="6"/>
      <c r="P150" s="6"/>
      <c r="Q150" s="6"/>
      <c r="R150" s="6"/>
      <c r="S150" s="6"/>
    </row>
    <row r="151" ht="16.5" customHeight="1">
      <c r="A151" s="21"/>
      <c r="B151" s="22"/>
      <c r="C151" s="77" t="s">
        <v>253</v>
      </c>
      <c r="D151" s="62"/>
      <c r="E151" s="63"/>
      <c r="F151" s="63"/>
      <c r="G151" s="63"/>
      <c r="H151" s="63"/>
      <c r="I151" s="40"/>
      <c r="J151" s="40"/>
      <c r="K151" s="78"/>
      <c r="L151" s="79"/>
      <c r="M151" s="6"/>
      <c r="N151" s="6"/>
      <c r="O151" s="6"/>
      <c r="P151" s="6"/>
      <c r="Q151" s="6"/>
      <c r="R151" s="6"/>
      <c r="S151" s="6"/>
    </row>
    <row r="152" ht="16.5" customHeight="1">
      <c r="A152" s="26" t="s">
        <v>254</v>
      </c>
      <c r="B152" s="64">
        <v>6.161115451034E12</v>
      </c>
      <c r="C152" s="65" t="s">
        <v>255</v>
      </c>
      <c r="D152" s="65" t="s">
        <v>130</v>
      </c>
      <c r="E152" s="80">
        <v>10300.0</v>
      </c>
      <c r="F152" s="80"/>
      <c r="G152" s="30">
        <v>11330.0</v>
      </c>
      <c r="H152" s="31">
        <f t="shared" ref="H152:H156" si="71">G152+2000</f>
        <v>13330</v>
      </c>
      <c r="I152" s="32">
        <v>6.0</v>
      </c>
      <c r="J152" s="88">
        <v>16.0</v>
      </c>
      <c r="K152" s="46">
        <v>40.0</v>
      </c>
      <c r="L152" s="79"/>
      <c r="M152" s="6"/>
      <c r="N152" s="6"/>
      <c r="O152" s="6"/>
      <c r="P152" s="6"/>
      <c r="Q152" s="6"/>
      <c r="R152" s="6"/>
      <c r="S152" s="6"/>
    </row>
    <row r="153" ht="16.5" customHeight="1">
      <c r="A153" s="26" t="s">
        <v>256</v>
      </c>
      <c r="B153" s="64">
        <v>6.161115451058E12</v>
      </c>
      <c r="C153" s="65" t="s">
        <v>257</v>
      </c>
      <c r="D153" s="65" t="s">
        <v>130</v>
      </c>
      <c r="E153" s="80">
        <v>10300.0</v>
      </c>
      <c r="F153" s="80"/>
      <c r="G153" s="30">
        <v>11330.0</v>
      </c>
      <c r="H153" s="31">
        <f t="shared" si="71"/>
        <v>13330</v>
      </c>
      <c r="I153" s="32">
        <v>6.0</v>
      </c>
      <c r="J153" s="88">
        <v>16.0</v>
      </c>
      <c r="K153" s="46">
        <v>40.0</v>
      </c>
      <c r="L153" s="79"/>
      <c r="M153" s="6"/>
      <c r="N153" s="6"/>
      <c r="O153" s="6"/>
      <c r="P153" s="6"/>
      <c r="Q153" s="6"/>
      <c r="R153" s="6"/>
      <c r="S153" s="6"/>
    </row>
    <row r="154" ht="16.5" customHeight="1">
      <c r="A154" s="26" t="s">
        <v>258</v>
      </c>
      <c r="B154" s="64">
        <v>6.161115451072E12</v>
      </c>
      <c r="C154" s="65" t="s">
        <v>259</v>
      </c>
      <c r="D154" s="65" t="s">
        <v>130</v>
      </c>
      <c r="E154" s="80">
        <v>10300.0</v>
      </c>
      <c r="F154" s="80"/>
      <c r="G154" s="30">
        <v>11330.0</v>
      </c>
      <c r="H154" s="31">
        <f t="shared" si="71"/>
        <v>13330</v>
      </c>
      <c r="I154" s="32">
        <v>6.0</v>
      </c>
      <c r="J154" s="88">
        <v>16.0</v>
      </c>
      <c r="K154" s="46">
        <v>40.0</v>
      </c>
      <c r="L154" s="79"/>
      <c r="M154" s="6"/>
      <c r="N154" s="6"/>
      <c r="O154" s="6"/>
      <c r="P154" s="6"/>
      <c r="Q154" s="6"/>
      <c r="R154" s="6"/>
      <c r="S154" s="6"/>
    </row>
    <row r="155" ht="16.5" customHeight="1">
      <c r="A155" s="26" t="s">
        <v>260</v>
      </c>
      <c r="B155" s="64">
        <v>6.161115451089E12</v>
      </c>
      <c r="C155" s="65" t="s">
        <v>261</v>
      </c>
      <c r="D155" s="65" t="s">
        <v>130</v>
      </c>
      <c r="E155" s="80">
        <v>10300.0</v>
      </c>
      <c r="F155" s="80"/>
      <c r="G155" s="30">
        <v>11330.0</v>
      </c>
      <c r="H155" s="31">
        <f t="shared" si="71"/>
        <v>13330</v>
      </c>
      <c r="I155" s="32">
        <v>6.0</v>
      </c>
      <c r="J155" s="88">
        <v>16.0</v>
      </c>
      <c r="K155" s="46">
        <v>40.0</v>
      </c>
      <c r="L155" s="79"/>
      <c r="M155" s="6"/>
      <c r="N155" s="6"/>
      <c r="O155" s="6"/>
      <c r="P155" s="6"/>
      <c r="Q155" s="6"/>
      <c r="R155" s="6"/>
      <c r="S155" s="6"/>
    </row>
    <row r="156" ht="16.5" customHeight="1">
      <c r="A156" s="26" t="s">
        <v>262</v>
      </c>
      <c r="B156" s="64">
        <v>6.161115451515E12</v>
      </c>
      <c r="C156" s="65" t="s">
        <v>263</v>
      </c>
      <c r="D156" s="65" t="s">
        <v>130</v>
      </c>
      <c r="E156" s="80">
        <v>10300.0</v>
      </c>
      <c r="F156" s="80"/>
      <c r="G156" s="30">
        <v>11330.0</v>
      </c>
      <c r="H156" s="31">
        <f t="shared" si="71"/>
        <v>13330</v>
      </c>
      <c r="I156" s="32">
        <v>6.0</v>
      </c>
      <c r="J156" s="88">
        <v>16.0</v>
      </c>
      <c r="K156" s="46">
        <v>40.0</v>
      </c>
      <c r="L156" s="79"/>
      <c r="M156" s="6"/>
      <c r="N156" s="6"/>
      <c r="O156" s="6"/>
      <c r="P156" s="6"/>
      <c r="Q156" s="6"/>
      <c r="R156" s="6"/>
      <c r="S156" s="6"/>
    </row>
    <row r="157" ht="16.5" customHeight="1">
      <c r="A157" s="26"/>
      <c r="B157" s="64"/>
      <c r="C157" s="65"/>
      <c r="D157" s="65"/>
      <c r="E157" s="80"/>
      <c r="F157" s="80"/>
      <c r="G157" s="29"/>
      <c r="H157" s="31"/>
      <c r="I157" s="32"/>
      <c r="J157" s="78"/>
      <c r="K157" s="46"/>
      <c r="L157" s="79"/>
      <c r="M157" s="6"/>
      <c r="N157" s="6"/>
      <c r="O157" s="6"/>
      <c r="P157" s="6"/>
      <c r="Q157" s="6"/>
      <c r="R157" s="6"/>
      <c r="S157" s="6"/>
    </row>
    <row r="158" ht="16.5" customHeight="1">
      <c r="A158" s="21"/>
      <c r="B158" s="22"/>
      <c r="C158" s="77" t="s">
        <v>264</v>
      </c>
      <c r="D158" s="62"/>
      <c r="E158" s="63"/>
      <c r="F158" s="63"/>
      <c r="G158" s="63"/>
      <c r="H158" s="63"/>
      <c r="I158" s="40"/>
      <c r="J158" s="40"/>
      <c r="K158" s="78"/>
      <c r="L158" s="79"/>
      <c r="M158" s="6"/>
      <c r="N158" s="6"/>
      <c r="O158" s="6"/>
      <c r="P158" s="6"/>
      <c r="Q158" s="6"/>
      <c r="R158" s="6"/>
      <c r="S158" s="6"/>
    </row>
    <row r="159" ht="16.5" customHeight="1">
      <c r="A159" s="26" t="s">
        <v>205</v>
      </c>
      <c r="B159" s="27">
        <v>6.161115451577E12</v>
      </c>
      <c r="C159" s="28" t="s">
        <v>265</v>
      </c>
      <c r="D159" s="82" t="s">
        <v>204</v>
      </c>
      <c r="E159" s="42">
        <v>6600.0</v>
      </c>
      <c r="F159" s="42"/>
      <c r="G159" s="30">
        <v>7260.0</v>
      </c>
      <c r="H159" s="31">
        <f>G159+2000</f>
        <v>9260</v>
      </c>
      <c r="I159" s="46">
        <v>6.0</v>
      </c>
      <c r="J159" s="46">
        <v>12.0</v>
      </c>
      <c r="K159" s="46">
        <v>20.0</v>
      </c>
      <c r="L159" s="46"/>
      <c r="M159" s="47"/>
      <c r="N159" s="48"/>
      <c r="O159" s="6"/>
      <c r="P159" s="6"/>
      <c r="Q159" s="6"/>
      <c r="R159" s="6"/>
      <c r="S159" s="6"/>
    </row>
    <row r="160" ht="16.5" customHeight="1">
      <c r="A160" s="26"/>
      <c r="B160" s="64"/>
      <c r="C160" s="65"/>
      <c r="D160" s="65"/>
      <c r="E160" s="80"/>
      <c r="F160" s="80"/>
      <c r="G160" s="80"/>
      <c r="H160" s="31"/>
      <c r="I160" s="32"/>
      <c r="J160" s="88"/>
      <c r="K160" s="78"/>
      <c r="L160" s="79"/>
      <c r="M160" s="6"/>
      <c r="N160" s="6"/>
      <c r="O160" s="6"/>
      <c r="P160" s="6"/>
      <c r="Q160" s="6"/>
      <c r="R160" s="6"/>
      <c r="S160" s="6"/>
    </row>
    <row r="161" ht="16.5" customHeight="1">
      <c r="A161" s="89"/>
      <c r="B161" s="2"/>
      <c r="C161" s="6"/>
      <c r="D161" s="6"/>
      <c r="E161" s="6"/>
      <c r="F161" s="6"/>
      <c r="G161" s="6"/>
      <c r="H161" s="90"/>
      <c r="I161" s="89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ht="16.5" customHeight="1">
      <c r="A162" s="89"/>
      <c r="B162" s="2"/>
      <c r="C162" s="6"/>
      <c r="D162" s="6"/>
      <c r="E162" s="6"/>
      <c r="F162" s="6"/>
      <c r="G162" s="6"/>
      <c r="H162" s="90"/>
      <c r="I162" s="89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ht="16.5" customHeight="1">
      <c r="A163" s="89"/>
      <c r="B163" s="2"/>
      <c r="C163" s="6"/>
      <c r="D163" s="6"/>
      <c r="E163" s="6"/>
      <c r="F163" s="6"/>
      <c r="G163" s="6"/>
      <c r="H163" s="90"/>
      <c r="I163" s="89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ht="16.5" customHeight="1">
      <c r="A164" s="89"/>
      <c r="B164" s="2"/>
      <c r="C164" s="6"/>
      <c r="D164" s="6"/>
      <c r="E164" s="6"/>
      <c r="F164" s="6"/>
      <c r="G164" s="6"/>
      <c r="H164" s="90"/>
      <c r="I164" s="89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ht="16.5" customHeight="1">
      <c r="A165" s="89"/>
      <c r="B165" s="2"/>
      <c r="C165" s="6"/>
      <c r="D165" s="6"/>
      <c r="E165" s="6"/>
      <c r="F165" s="6"/>
      <c r="G165" s="6"/>
      <c r="H165" s="90"/>
      <c r="I165" s="91" t="s">
        <v>266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ht="16.5" customHeight="1">
      <c r="A166" s="89"/>
      <c r="B166" s="2"/>
      <c r="C166" s="6"/>
      <c r="D166" s="6"/>
      <c r="E166" s="6"/>
      <c r="F166" s="6"/>
      <c r="G166" s="6"/>
      <c r="H166" s="90"/>
      <c r="I166" s="89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ht="16.5" customHeight="1">
      <c r="A167" s="89"/>
      <c r="B167" s="2"/>
      <c r="C167" s="6"/>
      <c r="D167" s="6"/>
      <c r="E167" s="6"/>
      <c r="F167" s="6"/>
      <c r="G167" s="6"/>
      <c r="H167" s="90"/>
      <c r="I167" s="89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ht="16.5" customHeight="1">
      <c r="A168" s="89"/>
      <c r="B168" s="2"/>
      <c r="C168" s="6"/>
      <c r="D168" s="6"/>
      <c r="E168" s="6"/>
      <c r="F168" s="6"/>
      <c r="G168" s="6"/>
      <c r="H168" s="90"/>
      <c r="I168" s="89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ht="16.5" customHeight="1">
      <c r="A169" s="89"/>
      <c r="B169" s="2"/>
      <c r="C169" s="6"/>
      <c r="D169" s="6"/>
      <c r="E169" s="6"/>
      <c r="F169" s="6"/>
      <c r="G169" s="6"/>
      <c r="H169" s="90"/>
      <c r="I169" s="89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ht="16.5" customHeight="1">
      <c r="A170" s="89"/>
      <c r="B170" s="2"/>
      <c r="C170" s="6"/>
      <c r="D170" s="6"/>
      <c r="E170" s="6"/>
      <c r="F170" s="6"/>
      <c r="G170" s="6"/>
      <c r="H170" s="90"/>
      <c r="I170" s="89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ht="16.5" customHeight="1">
      <c r="A171" s="89"/>
      <c r="B171" s="2"/>
      <c r="C171" s="6"/>
      <c r="D171" s="6"/>
      <c r="E171" s="6"/>
      <c r="F171" s="6"/>
      <c r="G171" s="6"/>
      <c r="H171" s="90"/>
      <c r="I171" s="89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ht="16.5" customHeight="1">
      <c r="A172" s="89"/>
      <c r="B172" s="2"/>
      <c r="C172" s="6"/>
      <c r="D172" s="6"/>
      <c r="E172" s="6"/>
      <c r="F172" s="6"/>
      <c r="G172" s="6"/>
      <c r="H172" s="90"/>
      <c r="I172" s="89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 ht="16.5" customHeight="1">
      <c r="A173" s="89"/>
      <c r="B173" s="2"/>
      <c r="C173" s="6"/>
      <c r="D173" s="6"/>
      <c r="E173" s="6"/>
      <c r="F173" s="6"/>
      <c r="G173" s="6"/>
      <c r="H173" s="90"/>
      <c r="I173" s="89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 ht="16.5" customHeight="1">
      <c r="A174" s="89"/>
      <c r="B174" s="2"/>
      <c r="C174" s="6"/>
      <c r="D174" s="6"/>
      <c r="E174" s="6"/>
      <c r="F174" s="6"/>
      <c r="G174" s="6"/>
      <c r="H174" s="90"/>
      <c r="I174" s="89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 ht="16.5" customHeight="1">
      <c r="A175" s="89"/>
      <c r="B175" s="2"/>
      <c r="C175" s="6"/>
      <c r="D175" s="6"/>
      <c r="E175" s="6"/>
      <c r="F175" s="6"/>
      <c r="G175" s="6"/>
      <c r="H175" s="90"/>
      <c r="I175" s="89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 ht="16.5" customHeight="1">
      <c r="A176" s="89"/>
      <c r="B176" s="2"/>
      <c r="C176" s="6"/>
      <c r="D176" s="6"/>
      <c r="E176" s="6"/>
      <c r="F176" s="6"/>
      <c r="G176" s="6"/>
      <c r="H176" s="90"/>
      <c r="I176" s="89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 ht="16.5" customHeight="1">
      <c r="A177" s="89"/>
      <c r="B177" s="2"/>
      <c r="C177" s="6"/>
      <c r="D177" s="6"/>
      <c r="E177" s="6"/>
      <c r="F177" s="6"/>
      <c r="G177" s="6"/>
      <c r="H177" s="90"/>
      <c r="I177" s="89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 ht="16.5" customHeight="1">
      <c r="A178" s="89"/>
      <c r="B178" s="2"/>
      <c r="C178" s="6"/>
      <c r="D178" s="6"/>
      <c r="E178" s="6"/>
      <c r="F178" s="6"/>
      <c r="G178" s="6"/>
      <c r="H178" s="90"/>
      <c r="I178" s="89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 ht="16.5" customHeight="1">
      <c r="A179" s="89"/>
      <c r="B179" s="2"/>
      <c r="C179" s="6"/>
      <c r="D179" s="6"/>
      <c r="E179" s="6"/>
      <c r="F179" s="6"/>
      <c r="G179" s="6"/>
      <c r="H179" s="90"/>
      <c r="I179" s="89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 ht="16.5" customHeight="1">
      <c r="A180" s="89"/>
      <c r="B180" s="2"/>
      <c r="C180" s="6"/>
      <c r="D180" s="6"/>
      <c r="E180" s="6"/>
      <c r="F180" s="6"/>
      <c r="G180" s="6"/>
      <c r="H180" s="90"/>
      <c r="I180" s="89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 ht="16.5" customHeight="1">
      <c r="A181" s="89"/>
      <c r="B181" s="2"/>
      <c r="C181" s="6"/>
      <c r="D181" s="6"/>
      <c r="E181" s="6"/>
      <c r="F181" s="6"/>
      <c r="G181" s="6"/>
      <c r="H181" s="90"/>
      <c r="I181" s="89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 ht="16.5" customHeight="1">
      <c r="A182" s="89"/>
      <c r="B182" s="2"/>
      <c r="C182" s="6"/>
      <c r="D182" s="6"/>
      <c r="E182" s="6"/>
      <c r="F182" s="6"/>
      <c r="G182" s="6"/>
      <c r="H182" s="90"/>
      <c r="I182" s="89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 ht="16.5" customHeight="1">
      <c r="A183" s="89"/>
      <c r="B183" s="2"/>
      <c r="C183" s="6"/>
      <c r="D183" s="6"/>
      <c r="E183" s="6"/>
      <c r="F183" s="6"/>
      <c r="G183" s="6"/>
      <c r="H183" s="90"/>
      <c r="I183" s="89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 ht="16.5" customHeight="1">
      <c r="A184" s="89"/>
      <c r="B184" s="2"/>
      <c r="C184" s="6"/>
      <c r="D184" s="6"/>
      <c r="E184" s="6"/>
      <c r="F184" s="6"/>
      <c r="G184" s="6"/>
      <c r="H184" s="90"/>
      <c r="I184" s="89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 ht="16.5" customHeight="1">
      <c r="A185" s="89"/>
      <c r="B185" s="2"/>
      <c r="C185" s="6"/>
      <c r="D185" s="6"/>
      <c r="E185" s="6"/>
      <c r="F185" s="6"/>
      <c r="G185" s="6"/>
      <c r="H185" s="90"/>
      <c r="I185" s="89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 ht="16.5" customHeight="1">
      <c r="A186" s="89"/>
      <c r="B186" s="2"/>
      <c r="C186" s="6"/>
      <c r="D186" s="6"/>
      <c r="E186" s="6"/>
      <c r="F186" s="6"/>
      <c r="G186" s="6"/>
      <c r="H186" s="90"/>
      <c r="I186" s="89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 ht="16.5" customHeight="1">
      <c r="A187" s="89"/>
      <c r="B187" s="2"/>
      <c r="C187" s="6"/>
      <c r="D187" s="6"/>
      <c r="E187" s="6"/>
      <c r="F187" s="6"/>
      <c r="G187" s="6"/>
      <c r="H187" s="90"/>
      <c r="I187" s="89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 ht="16.5" customHeight="1">
      <c r="A188" s="89"/>
      <c r="B188" s="2"/>
      <c r="C188" s="6"/>
      <c r="D188" s="6"/>
      <c r="E188" s="6"/>
      <c r="F188" s="6"/>
      <c r="G188" s="6"/>
      <c r="H188" s="90"/>
      <c r="I188" s="89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 ht="16.5" customHeight="1">
      <c r="A189" s="89"/>
      <c r="B189" s="2"/>
      <c r="C189" s="6"/>
      <c r="D189" s="6"/>
      <c r="E189" s="6"/>
      <c r="F189" s="6"/>
      <c r="G189" s="6"/>
      <c r="H189" s="90"/>
      <c r="I189" s="89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 ht="16.5" customHeight="1">
      <c r="A190" s="89"/>
      <c r="B190" s="2"/>
      <c r="C190" s="6"/>
      <c r="D190" s="6"/>
      <c r="E190" s="6"/>
      <c r="F190" s="6"/>
      <c r="G190" s="6"/>
      <c r="H190" s="90"/>
      <c r="I190" s="89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 ht="16.5" customHeight="1">
      <c r="A191" s="89"/>
      <c r="B191" s="2"/>
      <c r="C191" s="6"/>
      <c r="D191" s="6"/>
      <c r="E191" s="6"/>
      <c r="F191" s="6"/>
      <c r="G191" s="6"/>
      <c r="H191" s="90"/>
      <c r="I191" s="89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 ht="16.5" customHeight="1">
      <c r="A192" s="89"/>
      <c r="B192" s="2"/>
      <c r="C192" s="6"/>
      <c r="D192" s="6"/>
      <c r="E192" s="6"/>
      <c r="F192" s="6"/>
      <c r="G192" s="6"/>
      <c r="H192" s="90"/>
      <c r="I192" s="89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 ht="16.5" customHeight="1">
      <c r="A193" s="89"/>
      <c r="B193" s="2"/>
      <c r="C193" s="6"/>
      <c r="D193" s="6"/>
      <c r="E193" s="6"/>
      <c r="F193" s="6"/>
      <c r="G193" s="6"/>
      <c r="H193" s="90"/>
      <c r="I193" s="89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 ht="16.5" customHeight="1">
      <c r="A194" s="89"/>
      <c r="B194" s="2"/>
      <c r="C194" s="6"/>
      <c r="D194" s="6"/>
      <c r="E194" s="6"/>
      <c r="F194" s="6"/>
      <c r="G194" s="6"/>
      <c r="H194" s="90"/>
      <c r="I194" s="89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 ht="16.5" customHeight="1">
      <c r="A195" s="89"/>
      <c r="B195" s="2"/>
      <c r="C195" s="6"/>
      <c r="D195" s="6"/>
      <c r="E195" s="6"/>
      <c r="F195" s="6"/>
      <c r="G195" s="6"/>
      <c r="H195" s="90"/>
      <c r="I195" s="89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 ht="16.5" customHeight="1">
      <c r="A196" s="89"/>
      <c r="B196" s="2"/>
      <c r="C196" s="6"/>
      <c r="D196" s="6"/>
      <c r="E196" s="6"/>
      <c r="F196" s="6"/>
      <c r="G196" s="6"/>
      <c r="H196" s="90"/>
      <c r="I196" s="89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 ht="16.5" customHeight="1">
      <c r="A197" s="89"/>
      <c r="B197" s="2"/>
      <c r="C197" s="6"/>
      <c r="D197" s="6"/>
      <c r="E197" s="6"/>
      <c r="F197" s="6"/>
      <c r="G197" s="6"/>
      <c r="H197" s="90"/>
      <c r="I197" s="89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 ht="16.5" customHeight="1">
      <c r="A198" s="89"/>
      <c r="B198" s="2"/>
      <c r="C198" s="6"/>
      <c r="D198" s="6"/>
      <c r="E198" s="6"/>
      <c r="F198" s="6"/>
      <c r="G198" s="6"/>
      <c r="H198" s="90"/>
      <c r="I198" s="89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 ht="16.5" customHeight="1">
      <c r="A199" s="89"/>
      <c r="B199" s="2"/>
      <c r="C199" s="6"/>
      <c r="D199" s="6"/>
      <c r="E199" s="6"/>
      <c r="F199" s="6"/>
      <c r="G199" s="6"/>
      <c r="H199" s="90"/>
      <c r="I199" s="89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 ht="16.5" customHeight="1">
      <c r="A200" s="89"/>
      <c r="B200" s="2"/>
      <c r="C200" s="6"/>
      <c r="D200" s="6"/>
      <c r="E200" s="6"/>
      <c r="F200" s="6"/>
      <c r="G200" s="6"/>
      <c r="H200" s="90"/>
      <c r="I200" s="89"/>
      <c r="J200" s="6"/>
      <c r="K200" s="6"/>
      <c r="L200" s="6"/>
      <c r="M200" s="6"/>
      <c r="N200" s="6"/>
      <c r="O200" s="6"/>
      <c r="P200" s="6"/>
      <c r="Q200" s="6"/>
      <c r="R200" s="6"/>
      <c r="S200" s="6"/>
    </row>
    <row r="201" ht="16.5" customHeight="1">
      <c r="A201" s="89"/>
      <c r="B201" s="2"/>
      <c r="C201" s="6"/>
      <c r="D201" s="6"/>
      <c r="E201" s="6"/>
      <c r="F201" s="6"/>
      <c r="G201" s="6"/>
      <c r="H201" s="90"/>
      <c r="I201" s="89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 ht="16.5" customHeight="1">
      <c r="A202" s="89"/>
      <c r="B202" s="2"/>
      <c r="C202" s="6"/>
      <c r="D202" s="6"/>
      <c r="E202" s="6"/>
      <c r="F202" s="6"/>
      <c r="G202" s="6"/>
      <c r="H202" s="90"/>
      <c r="I202" s="89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 ht="16.5" customHeight="1">
      <c r="A203" s="89"/>
      <c r="B203" s="2"/>
      <c r="C203" s="6"/>
      <c r="D203" s="6"/>
      <c r="E203" s="6"/>
      <c r="F203" s="6"/>
      <c r="G203" s="6"/>
      <c r="H203" s="90"/>
      <c r="I203" s="89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 ht="16.5" customHeight="1">
      <c r="A204" s="89"/>
      <c r="B204" s="2"/>
      <c r="C204" s="6"/>
      <c r="D204" s="6"/>
      <c r="E204" s="6"/>
      <c r="F204" s="6"/>
      <c r="G204" s="6"/>
      <c r="H204" s="90"/>
      <c r="I204" s="89"/>
      <c r="J204" s="6"/>
      <c r="K204" s="6"/>
      <c r="L204" s="6"/>
      <c r="M204" s="6"/>
      <c r="N204" s="6"/>
      <c r="O204" s="6"/>
      <c r="P204" s="6"/>
      <c r="Q204" s="6"/>
      <c r="R204" s="6"/>
      <c r="S204" s="6"/>
    </row>
    <row r="205" ht="16.5" customHeight="1">
      <c r="A205" s="89"/>
      <c r="B205" s="2"/>
      <c r="C205" s="6"/>
      <c r="D205" s="6"/>
      <c r="E205" s="6"/>
      <c r="F205" s="6"/>
      <c r="G205" s="6"/>
      <c r="H205" s="90"/>
      <c r="I205" s="89"/>
      <c r="J205" s="6"/>
      <c r="K205" s="6"/>
      <c r="L205" s="6"/>
      <c r="M205" s="6"/>
      <c r="N205" s="6"/>
      <c r="O205" s="6"/>
      <c r="P205" s="6"/>
      <c r="Q205" s="6"/>
      <c r="R205" s="6"/>
      <c r="S205" s="6"/>
    </row>
    <row r="206" ht="16.5" customHeight="1">
      <c r="A206" s="89"/>
      <c r="B206" s="2"/>
      <c r="C206" s="6"/>
      <c r="D206" s="6"/>
      <c r="E206" s="6"/>
      <c r="F206" s="6"/>
      <c r="G206" s="6"/>
      <c r="H206" s="90"/>
      <c r="I206" s="89"/>
      <c r="J206" s="6"/>
      <c r="K206" s="6"/>
      <c r="L206" s="6"/>
      <c r="M206" s="6"/>
      <c r="N206" s="6"/>
      <c r="O206" s="6"/>
      <c r="P206" s="6"/>
      <c r="Q206" s="6"/>
      <c r="R206" s="6"/>
      <c r="S206" s="6"/>
    </row>
    <row r="207" ht="16.5" customHeight="1">
      <c r="A207" s="89"/>
      <c r="B207" s="2"/>
      <c r="C207" s="6"/>
      <c r="D207" s="6"/>
      <c r="E207" s="6"/>
      <c r="F207" s="6"/>
      <c r="G207" s="6"/>
      <c r="H207" s="90"/>
      <c r="I207" s="89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 ht="16.5" customHeight="1">
      <c r="A208" s="89"/>
      <c r="B208" s="2"/>
      <c r="C208" s="6"/>
      <c r="D208" s="6"/>
      <c r="E208" s="6"/>
      <c r="F208" s="6"/>
      <c r="G208" s="6"/>
      <c r="H208" s="90"/>
      <c r="I208" s="89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 ht="16.5" customHeight="1">
      <c r="A209" s="89"/>
      <c r="B209" s="2"/>
      <c r="C209" s="6"/>
      <c r="D209" s="6"/>
      <c r="E209" s="6"/>
      <c r="F209" s="6"/>
      <c r="G209" s="6"/>
      <c r="H209" s="90"/>
      <c r="I209" s="89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 ht="16.5" customHeight="1">
      <c r="A210" s="89"/>
      <c r="B210" s="2"/>
      <c r="C210" s="6"/>
      <c r="D210" s="6"/>
      <c r="E210" s="6"/>
      <c r="F210" s="6"/>
      <c r="G210" s="6"/>
      <c r="H210" s="90"/>
      <c r="I210" s="89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 ht="16.5" customHeight="1">
      <c r="A211" s="89"/>
      <c r="B211" s="2"/>
      <c r="C211" s="6"/>
      <c r="D211" s="6"/>
      <c r="E211" s="6"/>
      <c r="F211" s="6"/>
      <c r="G211" s="6"/>
      <c r="H211" s="90"/>
      <c r="I211" s="89"/>
      <c r="J211" s="6"/>
      <c r="K211" s="6"/>
      <c r="L211" s="6"/>
      <c r="M211" s="6"/>
      <c r="N211" s="6"/>
      <c r="O211" s="6"/>
      <c r="P211" s="6"/>
      <c r="Q211" s="6"/>
      <c r="R211" s="6"/>
      <c r="S211" s="6"/>
    </row>
    <row r="212" ht="16.5" customHeight="1">
      <c r="A212" s="89"/>
      <c r="B212" s="2"/>
      <c r="C212" s="6"/>
      <c r="D212" s="6"/>
      <c r="E212" s="6"/>
      <c r="F212" s="6"/>
      <c r="G212" s="6"/>
      <c r="H212" s="90"/>
      <c r="I212" s="89"/>
      <c r="J212" s="6"/>
      <c r="K212" s="6"/>
      <c r="L212" s="6"/>
      <c r="M212" s="6"/>
      <c r="N212" s="6"/>
      <c r="O212" s="6"/>
      <c r="P212" s="6"/>
      <c r="Q212" s="6"/>
      <c r="R212" s="6"/>
      <c r="S212" s="6"/>
    </row>
    <row r="213" ht="16.5" customHeight="1">
      <c r="A213" s="89"/>
      <c r="B213" s="2"/>
      <c r="C213" s="6"/>
      <c r="D213" s="6"/>
      <c r="E213" s="6"/>
      <c r="F213" s="6"/>
      <c r="G213" s="6"/>
      <c r="H213" s="90"/>
      <c r="I213" s="89"/>
      <c r="J213" s="6"/>
      <c r="K213" s="6"/>
      <c r="L213" s="6"/>
      <c r="M213" s="6"/>
      <c r="N213" s="6"/>
      <c r="O213" s="6"/>
      <c r="P213" s="6"/>
      <c r="Q213" s="6"/>
      <c r="R213" s="6"/>
      <c r="S213" s="6"/>
    </row>
    <row r="214" ht="16.5" customHeight="1">
      <c r="A214" s="89"/>
      <c r="B214" s="2"/>
      <c r="C214" s="6"/>
      <c r="D214" s="6"/>
      <c r="E214" s="6"/>
      <c r="F214" s="6"/>
      <c r="G214" s="6"/>
      <c r="H214" s="90"/>
      <c r="I214" s="89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15" ht="16.5" customHeight="1">
      <c r="A215" s="89"/>
      <c r="B215" s="2"/>
      <c r="C215" s="6"/>
      <c r="D215" s="6"/>
      <c r="E215" s="6"/>
      <c r="F215" s="6"/>
      <c r="G215" s="6"/>
      <c r="H215" s="90"/>
      <c r="I215" s="89"/>
      <c r="J215" s="6"/>
      <c r="K215" s="6"/>
      <c r="L215" s="6"/>
      <c r="M215" s="6"/>
      <c r="N215" s="6"/>
      <c r="O215" s="6"/>
      <c r="P215" s="6"/>
      <c r="Q215" s="6"/>
      <c r="R215" s="6"/>
      <c r="S215" s="6"/>
    </row>
    <row r="216" ht="16.5" customHeight="1">
      <c r="A216" s="89"/>
      <c r="B216" s="2"/>
      <c r="C216" s="6"/>
      <c r="D216" s="6"/>
      <c r="E216" s="6"/>
      <c r="F216" s="6"/>
      <c r="G216" s="6"/>
      <c r="H216" s="90"/>
      <c r="I216" s="89"/>
      <c r="J216" s="6"/>
      <c r="K216" s="6"/>
      <c r="L216" s="6"/>
      <c r="M216" s="6"/>
      <c r="N216" s="6"/>
      <c r="O216" s="6"/>
      <c r="P216" s="6"/>
      <c r="Q216" s="6"/>
      <c r="R216" s="6"/>
      <c r="S216" s="6"/>
    </row>
    <row r="217" ht="16.5" customHeight="1">
      <c r="A217" s="89"/>
      <c r="B217" s="2"/>
      <c r="C217" s="6"/>
      <c r="D217" s="6"/>
      <c r="E217" s="6"/>
      <c r="F217" s="6"/>
      <c r="G217" s="6"/>
      <c r="H217" s="90"/>
      <c r="I217" s="89"/>
      <c r="J217" s="6"/>
      <c r="K217" s="6"/>
      <c r="L217" s="6"/>
      <c r="M217" s="6"/>
      <c r="N217" s="6"/>
      <c r="O217" s="6"/>
      <c r="P217" s="6"/>
      <c r="Q217" s="6"/>
      <c r="R217" s="6"/>
      <c r="S217" s="6"/>
    </row>
    <row r="218" ht="16.5" customHeight="1">
      <c r="A218" s="89"/>
      <c r="B218" s="2"/>
      <c r="C218" s="6"/>
      <c r="D218" s="6"/>
      <c r="E218" s="6"/>
      <c r="F218" s="6"/>
      <c r="G218" s="6"/>
      <c r="H218" s="90"/>
      <c r="I218" s="89"/>
      <c r="J218" s="6"/>
      <c r="K218" s="6"/>
      <c r="L218" s="6"/>
      <c r="M218" s="6"/>
      <c r="N218" s="6"/>
      <c r="O218" s="6"/>
      <c r="P218" s="6"/>
      <c r="Q218" s="6"/>
      <c r="R218" s="6"/>
      <c r="S218" s="6"/>
    </row>
    <row r="219" ht="16.5" customHeight="1">
      <c r="A219" s="89"/>
      <c r="B219" s="2"/>
      <c r="C219" s="6"/>
      <c r="D219" s="6"/>
      <c r="E219" s="6"/>
      <c r="F219" s="6"/>
      <c r="G219" s="6"/>
      <c r="H219" s="90"/>
      <c r="I219" s="89"/>
      <c r="J219" s="6"/>
      <c r="K219" s="6"/>
      <c r="L219" s="6"/>
      <c r="M219" s="6"/>
      <c r="N219" s="6"/>
      <c r="O219" s="6"/>
      <c r="P219" s="6"/>
      <c r="Q219" s="6"/>
      <c r="R219" s="6"/>
      <c r="S219" s="6"/>
    </row>
    <row r="220" ht="16.5" customHeight="1">
      <c r="A220" s="89"/>
      <c r="B220" s="2"/>
      <c r="C220" s="6"/>
      <c r="D220" s="6"/>
      <c r="E220" s="6"/>
      <c r="F220" s="6"/>
      <c r="G220" s="6"/>
      <c r="H220" s="90"/>
      <c r="I220" s="89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 ht="16.5" customHeight="1">
      <c r="A221" s="89"/>
      <c r="B221" s="2"/>
      <c r="C221" s="6"/>
      <c r="D221" s="6"/>
      <c r="E221" s="6"/>
      <c r="F221" s="6"/>
      <c r="G221" s="6"/>
      <c r="H221" s="90"/>
      <c r="I221" s="89"/>
      <c r="J221" s="6"/>
      <c r="K221" s="6"/>
      <c r="L221" s="6"/>
      <c r="M221" s="6"/>
      <c r="N221" s="6"/>
      <c r="O221" s="6"/>
      <c r="P221" s="6"/>
      <c r="Q221" s="6"/>
      <c r="R221" s="6"/>
      <c r="S221" s="6"/>
    </row>
    <row r="222" ht="16.5" customHeight="1">
      <c r="A222" s="89"/>
      <c r="B222" s="2"/>
      <c r="C222" s="6"/>
      <c r="D222" s="6"/>
      <c r="E222" s="6"/>
      <c r="F222" s="6"/>
      <c r="G222" s="6"/>
      <c r="H222" s="90"/>
      <c r="I222" s="89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ht="16.5" customHeight="1">
      <c r="A223" s="89"/>
      <c r="B223" s="2"/>
      <c r="C223" s="6"/>
      <c r="D223" s="6"/>
      <c r="E223" s="6"/>
      <c r="F223" s="6"/>
      <c r="G223" s="6"/>
      <c r="H223" s="90"/>
      <c r="I223" s="89"/>
      <c r="J223" s="6"/>
      <c r="K223" s="6"/>
      <c r="L223" s="6"/>
      <c r="M223" s="6"/>
      <c r="N223" s="6"/>
      <c r="O223" s="6"/>
      <c r="P223" s="6"/>
      <c r="Q223" s="6"/>
      <c r="R223" s="6"/>
      <c r="S223" s="6"/>
    </row>
    <row r="224" ht="16.5" customHeight="1">
      <c r="A224" s="89"/>
      <c r="B224" s="2"/>
      <c r="C224" s="6"/>
      <c r="D224" s="6"/>
      <c r="E224" s="6"/>
      <c r="F224" s="6"/>
      <c r="G224" s="6"/>
      <c r="H224" s="90"/>
      <c r="I224" s="89"/>
      <c r="J224" s="6"/>
      <c r="K224" s="6"/>
      <c r="L224" s="6"/>
      <c r="M224" s="6"/>
      <c r="N224" s="6"/>
      <c r="O224" s="6"/>
      <c r="P224" s="6"/>
      <c r="Q224" s="6"/>
      <c r="R224" s="6"/>
      <c r="S224" s="6"/>
    </row>
    <row r="225" ht="16.5" customHeight="1">
      <c r="A225" s="89"/>
      <c r="B225" s="2"/>
      <c r="C225" s="6"/>
      <c r="D225" s="6"/>
      <c r="E225" s="6"/>
      <c r="F225" s="6"/>
      <c r="G225" s="6"/>
      <c r="H225" s="90"/>
      <c r="I225" s="89"/>
      <c r="J225" s="6"/>
      <c r="K225" s="6"/>
      <c r="L225" s="6"/>
      <c r="M225" s="6"/>
      <c r="N225" s="6"/>
      <c r="O225" s="6"/>
      <c r="P225" s="6"/>
      <c r="Q225" s="6"/>
      <c r="R225" s="6"/>
      <c r="S225" s="6"/>
    </row>
    <row r="226" ht="16.5" customHeight="1">
      <c r="A226" s="89"/>
      <c r="B226" s="2"/>
      <c r="C226" s="6"/>
      <c r="D226" s="6"/>
      <c r="E226" s="6"/>
      <c r="F226" s="6"/>
      <c r="G226" s="6"/>
      <c r="H226" s="90"/>
      <c r="I226" s="89"/>
      <c r="J226" s="6"/>
      <c r="K226" s="6"/>
      <c r="L226" s="6"/>
      <c r="M226" s="6"/>
      <c r="N226" s="6"/>
      <c r="O226" s="6"/>
      <c r="P226" s="6"/>
      <c r="Q226" s="6"/>
      <c r="R226" s="6"/>
      <c r="S226" s="6"/>
    </row>
    <row r="227" ht="16.5" customHeight="1">
      <c r="A227" s="89"/>
      <c r="B227" s="2"/>
      <c r="C227" s="6"/>
      <c r="D227" s="6"/>
      <c r="E227" s="6"/>
      <c r="F227" s="6"/>
      <c r="G227" s="6"/>
      <c r="H227" s="90"/>
      <c r="I227" s="89"/>
      <c r="J227" s="6"/>
      <c r="K227" s="6"/>
      <c r="L227" s="6"/>
      <c r="M227" s="6"/>
      <c r="N227" s="6"/>
      <c r="O227" s="6"/>
      <c r="P227" s="6"/>
      <c r="Q227" s="6"/>
      <c r="R227" s="6"/>
      <c r="S227" s="6"/>
    </row>
    <row r="228" ht="16.5" customHeight="1">
      <c r="A228" s="89"/>
      <c r="B228" s="2"/>
      <c r="C228" s="6"/>
      <c r="D228" s="6"/>
      <c r="E228" s="6"/>
      <c r="F228" s="6"/>
      <c r="G228" s="6"/>
      <c r="H228" s="90"/>
      <c r="I228" s="89"/>
      <c r="J228" s="6"/>
      <c r="K228" s="6"/>
      <c r="L228" s="6"/>
      <c r="M228" s="6"/>
      <c r="N228" s="6"/>
      <c r="O228" s="6"/>
      <c r="P228" s="6"/>
      <c r="Q228" s="6"/>
      <c r="R228" s="6"/>
      <c r="S228" s="6"/>
    </row>
    <row r="229" ht="16.5" customHeight="1">
      <c r="A229" s="89"/>
      <c r="B229" s="2"/>
      <c r="C229" s="6"/>
      <c r="D229" s="6"/>
      <c r="E229" s="6"/>
      <c r="F229" s="6"/>
      <c r="G229" s="6"/>
      <c r="H229" s="90"/>
      <c r="I229" s="89"/>
      <c r="J229" s="6"/>
      <c r="K229" s="6"/>
      <c r="L229" s="6"/>
      <c r="M229" s="6"/>
      <c r="N229" s="6"/>
      <c r="O229" s="6"/>
      <c r="P229" s="6"/>
      <c r="Q229" s="6"/>
      <c r="R229" s="6"/>
      <c r="S229" s="6"/>
    </row>
    <row r="230" ht="16.5" customHeight="1">
      <c r="A230" s="89"/>
      <c r="B230" s="2"/>
      <c r="C230" s="6"/>
      <c r="D230" s="6"/>
      <c r="E230" s="6"/>
      <c r="F230" s="6"/>
      <c r="G230" s="6"/>
      <c r="H230" s="90"/>
      <c r="I230" s="89"/>
      <c r="J230" s="6"/>
      <c r="K230" s="6"/>
      <c r="L230" s="6"/>
      <c r="M230" s="6"/>
      <c r="N230" s="6"/>
      <c r="O230" s="6"/>
      <c r="P230" s="6"/>
      <c r="Q230" s="6"/>
      <c r="R230" s="6"/>
      <c r="S230" s="6"/>
    </row>
    <row r="231" ht="16.5" customHeight="1">
      <c r="A231" s="89"/>
      <c r="B231" s="2"/>
      <c r="C231" s="6"/>
      <c r="D231" s="6"/>
      <c r="E231" s="6"/>
      <c r="F231" s="6"/>
      <c r="G231" s="6"/>
      <c r="H231" s="90"/>
      <c r="I231" s="89"/>
      <c r="J231" s="6"/>
      <c r="K231" s="6"/>
      <c r="L231" s="6"/>
      <c r="M231" s="6"/>
      <c r="N231" s="6"/>
      <c r="O231" s="6"/>
      <c r="P231" s="6"/>
      <c r="Q231" s="6"/>
      <c r="R231" s="6"/>
      <c r="S231" s="6"/>
    </row>
    <row r="232" ht="16.5" customHeight="1">
      <c r="A232" s="89"/>
      <c r="B232" s="2"/>
      <c r="C232" s="6"/>
      <c r="D232" s="6"/>
      <c r="E232" s="6"/>
      <c r="F232" s="6"/>
      <c r="G232" s="6"/>
      <c r="H232" s="90"/>
      <c r="I232" s="89"/>
      <c r="J232" s="6"/>
      <c r="K232" s="6"/>
      <c r="L232" s="6"/>
      <c r="M232" s="6"/>
      <c r="N232" s="6"/>
      <c r="O232" s="6"/>
      <c r="P232" s="6"/>
      <c r="Q232" s="6"/>
      <c r="R232" s="6"/>
      <c r="S232" s="6"/>
    </row>
    <row r="233" ht="16.5" customHeight="1">
      <c r="A233" s="89"/>
      <c r="B233" s="2"/>
      <c r="C233" s="6"/>
      <c r="D233" s="6"/>
      <c r="E233" s="6"/>
      <c r="F233" s="6"/>
      <c r="G233" s="6"/>
      <c r="H233" s="90"/>
      <c r="I233" s="89"/>
      <c r="J233" s="6"/>
      <c r="K233" s="6"/>
      <c r="L233" s="6"/>
      <c r="M233" s="6"/>
      <c r="N233" s="6"/>
      <c r="O233" s="6"/>
      <c r="P233" s="6"/>
      <c r="Q233" s="6"/>
      <c r="R233" s="6"/>
      <c r="S233" s="6"/>
    </row>
    <row r="234" ht="16.5" customHeight="1">
      <c r="A234" s="89"/>
      <c r="B234" s="2"/>
      <c r="C234" s="6"/>
      <c r="D234" s="6"/>
      <c r="E234" s="6"/>
      <c r="F234" s="6"/>
      <c r="G234" s="6"/>
      <c r="H234" s="90"/>
      <c r="I234" s="89"/>
      <c r="J234" s="6"/>
      <c r="K234" s="6"/>
      <c r="L234" s="6"/>
      <c r="M234" s="6"/>
      <c r="N234" s="6"/>
      <c r="O234" s="6"/>
      <c r="P234" s="6"/>
      <c r="Q234" s="6"/>
      <c r="R234" s="6"/>
      <c r="S234" s="6"/>
    </row>
    <row r="235" ht="16.5" customHeight="1">
      <c r="A235" s="89"/>
      <c r="B235" s="2"/>
      <c r="C235" s="6"/>
      <c r="D235" s="6"/>
      <c r="E235" s="6"/>
      <c r="F235" s="6"/>
      <c r="G235" s="6"/>
      <c r="H235" s="90"/>
      <c r="I235" s="89"/>
      <c r="J235" s="6"/>
      <c r="K235" s="6"/>
      <c r="L235" s="6"/>
      <c r="M235" s="6"/>
      <c r="N235" s="6"/>
      <c r="O235" s="6"/>
      <c r="P235" s="6"/>
      <c r="Q235" s="6"/>
      <c r="R235" s="6"/>
      <c r="S235" s="6"/>
    </row>
    <row r="236" ht="16.5" customHeight="1">
      <c r="A236" s="89"/>
      <c r="B236" s="2"/>
      <c r="C236" s="6"/>
      <c r="D236" s="6"/>
      <c r="E236" s="6"/>
      <c r="F236" s="6"/>
      <c r="G236" s="6"/>
      <c r="H236" s="90"/>
      <c r="I236" s="89"/>
      <c r="J236" s="6"/>
      <c r="K236" s="6"/>
      <c r="L236" s="6"/>
      <c r="M236" s="6"/>
      <c r="N236" s="6"/>
      <c r="O236" s="6"/>
      <c r="P236" s="6"/>
      <c r="Q236" s="6"/>
      <c r="R236" s="6"/>
      <c r="S236" s="6"/>
    </row>
    <row r="237" ht="16.5" customHeight="1">
      <c r="A237" s="89"/>
      <c r="B237" s="2"/>
      <c r="C237" s="6"/>
      <c r="D237" s="6"/>
      <c r="E237" s="6"/>
      <c r="F237" s="6"/>
      <c r="G237" s="6"/>
      <c r="H237" s="90"/>
      <c r="I237" s="89"/>
      <c r="J237" s="6"/>
      <c r="K237" s="6"/>
      <c r="L237" s="6"/>
      <c r="M237" s="6"/>
      <c r="N237" s="6"/>
      <c r="O237" s="6"/>
      <c r="P237" s="6"/>
      <c r="Q237" s="6"/>
      <c r="R237" s="6"/>
      <c r="S237" s="6"/>
    </row>
    <row r="238" ht="16.5" customHeight="1">
      <c r="A238" s="89"/>
      <c r="B238" s="2"/>
      <c r="C238" s="6"/>
      <c r="D238" s="6"/>
      <c r="E238" s="6"/>
      <c r="F238" s="6"/>
      <c r="G238" s="6"/>
      <c r="H238" s="90"/>
      <c r="I238" s="89"/>
      <c r="J238" s="6"/>
      <c r="K238" s="6"/>
      <c r="L238" s="6"/>
      <c r="M238" s="6"/>
      <c r="N238" s="6"/>
      <c r="O238" s="6"/>
      <c r="P238" s="6"/>
      <c r="Q238" s="6"/>
      <c r="R238" s="6"/>
      <c r="S238" s="6"/>
    </row>
    <row r="239" ht="16.5" customHeight="1">
      <c r="A239" s="89"/>
      <c r="B239" s="2"/>
      <c r="C239" s="6"/>
      <c r="D239" s="6"/>
      <c r="E239" s="6"/>
      <c r="F239" s="6"/>
      <c r="G239" s="6"/>
      <c r="H239" s="90"/>
      <c r="I239" s="89"/>
      <c r="J239" s="6"/>
      <c r="K239" s="6"/>
      <c r="L239" s="6"/>
      <c r="M239" s="6"/>
      <c r="N239" s="6"/>
      <c r="O239" s="6"/>
      <c r="P239" s="6"/>
      <c r="Q239" s="6"/>
      <c r="R239" s="6"/>
      <c r="S239" s="6"/>
    </row>
    <row r="240" ht="16.5" customHeight="1">
      <c r="A240" s="89"/>
      <c r="B240" s="2"/>
      <c r="C240" s="6"/>
      <c r="D240" s="6"/>
      <c r="E240" s="6"/>
      <c r="F240" s="6"/>
      <c r="G240" s="6"/>
      <c r="H240" s="90"/>
      <c r="I240" s="89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 ht="16.5" customHeight="1">
      <c r="A241" s="89"/>
      <c r="B241" s="2"/>
      <c r="C241" s="6"/>
      <c r="D241" s="6"/>
      <c r="E241" s="6"/>
      <c r="F241" s="6"/>
      <c r="G241" s="6"/>
      <c r="H241" s="90"/>
      <c r="I241" s="89"/>
      <c r="J241" s="6"/>
      <c r="K241" s="6"/>
      <c r="L241" s="6"/>
      <c r="M241" s="6"/>
      <c r="N241" s="6"/>
      <c r="O241" s="6"/>
      <c r="P241" s="6"/>
      <c r="Q241" s="6"/>
      <c r="R241" s="6"/>
      <c r="S241" s="6"/>
    </row>
    <row r="242" ht="16.5" customHeight="1">
      <c r="A242" s="89"/>
      <c r="B242" s="2"/>
      <c r="C242" s="6"/>
      <c r="D242" s="6"/>
      <c r="E242" s="6"/>
      <c r="F242" s="6"/>
      <c r="G242" s="6"/>
      <c r="H242" s="90"/>
      <c r="I242" s="89"/>
      <c r="J242" s="6"/>
      <c r="K242" s="6"/>
      <c r="L242" s="6"/>
      <c r="M242" s="6"/>
      <c r="N242" s="6"/>
      <c r="O242" s="6"/>
      <c r="P242" s="6"/>
      <c r="Q242" s="6"/>
      <c r="R242" s="6"/>
      <c r="S242" s="6"/>
    </row>
    <row r="243" ht="16.5" customHeight="1">
      <c r="A243" s="89"/>
      <c r="B243" s="2"/>
      <c r="C243" s="6"/>
      <c r="D243" s="6"/>
      <c r="E243" s="6"/>
      <c r="F243" s="6"/>
      <c r="G243" s="6"/>
      <c r="H243" s="90"/>
      <c r="I243" s="89"/>
      <c r="J243" s="6"/>
      <c r="K243" s="6"/>
      <c r="L243" s="6"/>
      <c r="M243" s="6"/>
      <c r="N243" s="6"/>
      <c r="O243" s="6"/>
      <c r="P243" s="6"/>
      <c r="Q243" s="6"/>
      <c r="R243" s="6"/>
      <c r="S243" s="6"/>
    </row>
    <row r="244" ht="16.5" customHeight="1">
      <c r="A244" s="89"/>
      <c r="B244" s="2"/>
      <c r="C244" s="6"/>
      <c r="D244" s="6"/>
      <c r="E244" s="6"/>
      <c r="F244" s="6"/>
      <c r="G244" s="6"/>
      <c r="H244" s="90"/>
      <c r="I244" s="89"/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 ht="16.5" customHeight="1">
      <c r="A245" s="89"/>
      <c r="B245" s="2"/>
      <c r="C245" s="6"/>
      <c r="D245" s="6"/>
      <c r="E245" s="6"/>
      <c r="F245" s="6"/>
      <c r="G245" s="6"/>
      <c r="H245" s="90"/>
      <c r="I245" s="89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46" ht="16.5" customHeight="1">
      <c r="A246" s="89"/>
      <c r="B246" s="2"/>
      <c r="C246" s="6"/>
      <c r="D246" s="6"/>
      <c r="E246" s="6"/>
      <c r="F246" s="6"/>
      <c r="G246" s="6"/>
      <c r="H246" s="90"/>
      <c r="I246" s="89"/>
      <c r="J246" s="6"/>
      <c r="K246" s="6"/>
      <c r="L246" s="6"/>
      <c r="M246" s="6"/>
      <c r="N246" s="6"/>
      <c r="O246" s="6"/>
      <c r="P246" s="6"/>
      <c r="Q246" s="6"/>
      <c r="R246" s="6"/>
      <c r="S246" s="6"/>
    </row>
    <row r="247" ht="16.5" customHeight="1">
      <c r="A247" s="89"/>
      <c r="B247" s="2"/>
      <c r="C247" s="6"/>
      <c r="D247" s="6"/>
      <c r="E247" s="6"/>
      <c r="F247" s="6"/>
      <c r="G247" s="6"/>
      <c r="H247" s="90"/>
      <c r="I247" s="89"/>
      <c r="J247" s="6"/>
      <c r="K247" s="6"/>
      <c r="L247" s="6"/>
      <c r="M247" s="6"/>
      <c r="N247" s="6"/>
      <c r="O247" s="6"/>
      <c r="P247" s="6"/>
      <c r="Q247" s="6"/>
      <c r="R247" s="6"/>
      <c r="S247" s="6"/>
    </row>
    <row r="248" ht="16.5" customHeight="1">
      <c r="A248" s="89"/>
      <c r="B248" s="2"/>
      <c r="C248" s="6"/>
      <c r="D248" s="6"/>
      <c r="E248" s="6"/>
      <c r="F248" s="6"/>
      <c r="G248" s="6"/>
      <c r="H248" s="90"/>
      <c r="I248" s="89"/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 ht="16.5" customHeight="1">
      <c r="A249" s="89"/>
      <c r="B249" s="2"/>
      <c r="C249" s="6"/>
      <c r="D249" s="6"/>
      <c r="E249" s="6"/>
      <c r="F249" s="6"/>
      <c r="G249" s="6"/>
      <c r="H249" s="90"/>
      <c r="I249" s="89"/>
      <c r="J249" s="6"/>
      <c r="K249" s="6"/>
      <c r="L249" s="6"/>
      <c r="M249" s="6"/>
      <c r="N249" s="6"/>
      <c r="O249" s="6"/>
      <c r="P249" s="6"/>
      <c r="Q249" s="6"/>
      <c r="R249" s="6"/>
      <c r="S249" s="6"/>
    </row>
    <row r="250" ht="16.5" customHeight="1">
      <c r="A250" s="89"/>
      <c r="B250" s="2"/>
      <c r="C250" s="6"/>
      <c r="D250" s="6"/>
      <c r="E250" s="6"/>
      <c r="F250" s="6"/>
      <c r="G250" s="6"/>
      <c r="H250" s="90"/>
      <c r="I250" s="89"/>
      <c r="J250" s="6"/>
      <c r="K250" s="6"/>
      <c r="L250" s="6"/>
      <c r="M250" s="6"/>
      <c r="N250" s="6"/>
      <c r="O250" s="6"/>
      <c r="P250" s="6"/>
      <c r="Q250" s="6"/>
      <c r="R250" s="6"/>
      <c r="S250" s="6"/>
    </row>
    <row r="251" ht="16.5" customHeight="1">
      <c r="A251" s="89"/>
      <c r="B251" s="2"/>
      <c r="C251" s="6"/>
      <c r="D251" s="6"/>
      <c r="E251" s="6"/>
      <c r="F251" s="6"/>
      <c r="G251" s="6"/>
      <c r="H251" s="90"/>
      <c r="I251" s="89"/>
      <c r="J251" s="6"/>
      <c r="K251" s="6"/>
      <c r="L251" s="6"/>
      <c r="M251" s="6"/>
      <c r="N251" s="6"/>
      <c r="O251" s="6"/>
      <c r="P251" s="6"/>
      <c r="Q251" s="6"/>
      <c r="R251" s="6"/>
      <c r="S251" s="6"/>
    </row>
    <row r="252" ht="16.5" customHeight="1">
      <c r="A252" s="89"/>
      <c r="B252" s="2"/>
      <c r="C252" s="6"/>
      <c r="D252" s="6"/>
      <c r="E252" s="6"/>
      <c r="F252" s="6"/>
      <c r="G252" s="6"/>
      <c r="H252" s="90"/>
      <c r="I252" s="89"/>
      <c r="J252" s="6"/>
      <c r="K252" s="6"/>
      <c r="L252" s="6"/>
      <c r="M252" s="6"/>
      <c r="N252" s="6"/>
      <c r="O252" s="6"/>
      <c r="P252" s="6"/>
      <c r="Q252" s="6"/>
      <c r="R252" s="6"/>
      <c r="S252" s="6"/>
    </row>
    <row r="253" ht="16.5" customHeight="1">
      <c r="A253" s="89"/>
      <c r="B253" s="2"/>
      <c r="C253" s="6"/>
      <c r="D253" s="6"/>
      <c r="E253" s="6"/>
      <c r="F253" s="6"/>
      <c r="G253" s="6"/>
      <c r="H253" s="90"/>
      <c r="I253" s="89"/>
      <c r="J253" s="6"/>
      <c r="K253" s="6"/>
      <c r="L253" s="6"/>
      <c r="M253" s="6"/>
      <c r="N253" s="6"/>
      <c r="O253" s="6"/>
      <c r="P253" s="6"/>
      <c r="Q253" s="6"/>
      <c r="R253" s="6"/>
      <c r="S253" s="6"/>
    </row>
    <row r="254" ht="16.5" customHeight="1">
      <c r="A254" s="89"/>
      <c r="B254" s="2"/>
      <c r="C254" s="6"/>
      <c r="D254" s="6"/>
      <c r="E254" s="6"/>
      <c r="F254" s="6"/>
      <c r="G254" s="6"/>
      <c r="H254" s="90"/>
      <c r="I254" s="89"/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 ht="16.5" customHeight="1">
      <c r="A255" s="89"/>
      <c r="B255" s="2"/>
      <c r="C255" s="6"/>
      <c r="D255" s="6"/>
      <c r="E255" s="6"/>
      <c r="F255" s="6"/>
      <c r="G255" s="6"/>
      <c r="H255" s="90"/>
      <c r="I255" s="89"/>
      <c r="J255" s="6"/>
      <c r="K255" s="6"/>
      <c r="L255" s="6"/>
      <c r="M255" s="6"/>
      <c r="N255" s="6"/>
      <c r="O255" s="6"/>
      <c r="P255" s="6"/>
      <c r="Q255" s="6"/>
      <c r="R255" s="6"/>
      <c r="S255" s="6"/>
    </row>
    <row r="256" ht="16.5" customHeight="1">
      <c r="A256" s="89"/>
      <c r="B256" s="2"/>
      <c r="C256" s="6"/>
      <c r="D256" s="6"/>
      <c r="E256" s="6"/>
      <c r="F256" s="6"/>
      <c r="G256" s="6"/>
      <c r="H256" s="90"/>
      <c r="I256" s="89"/>
      <c r="J256" s="6"/>
      <c r="K256" s="6"/>
      <c r="L256" s="6"/>
      <c r="M256" s="6"/>
      <c r="N256" s="6"/>
      <c r="O256" s="6"/>
      <c r="P256" s="6"/>
      <c r="Q256" s="6"/>
      <c r="R256" s="6"/>
      <c r="S256" s="6"/>
    </row>
    <row r="257" ht="16.5" customHeight="1">
      <c r="A257" s="89"/>
      <c r="B257" s="2"/>
      <c r="C257" s="6"/>
      <c r="D257" s="6"/>
      <c r="E257" s="6"/>
      <c r="F257" s="6"/>
      <c r="G257" s="6"/>
      <c r="H257" s="90"/>
      <c r="I257" s="89"/>
      <c r="J257" s="6"/>
      <c r="K257" s="6"/>
      <c r="L257" s="6"/>
      <c r="M257" s="6"/>
      <c r="N257" s="6"/>
      <c r="O257" s="6"/>
      <c r="P257" s="6"/>
      <c r="Q257" s="6"/>
      <c r="R257" s="6"/>
      <c r="S257" s="6"/>
    </row>
    <row r="258" ht="16.5" customHeight="1">
      <c r="A258" s="89"/>
      <c r="B258" s="2"/>
      <c r="C258" s="6"/>
      <c r="D258" s="6"/>
      <c r="E258" s="6"/>
      <c r="F258" s="6"/>
      <c r="G258" s="6"/>
      <c r="H258" s="90"/>
      <c r="I258" s="89"/>
      <c r="J258" s="6"/>
      <c r="K258" s="6"/>
      <c r="L258" s="6"/>
      <c r="M258" s="6"/>
      <c r="N258" s="6"/>
      <c r="O258" s="6"/>
      <c r="P258" s="6"/>
      <c r="Q258" s="6"/>
      <c r="R258" s="6"/>
      <c r="S258" s="6"/>
    </row>
    <row r="259" ht="16.5" customHeight="1">
      <c r="A259" s="89"/>
      <c r="B259" s="2"/>
      <c r="C259" s="6"/>
      <c r="D259" s="6"/>
      <c r="E259" s="6"/>
      <c r="F259" s="6"/>
      <c r="G259" s="6"/>
      <c r="H259" s="90"/>
      <c r="I259" s="89"/>
      <c r="J259" s="6"/>
      <c r="K259" s="6"/>
      <c r="L259" s="6"/>
      <c r="M259" s="6"/>
      <c r="N259" s="6"/>
      <c r="O259" s="6"/>
      <c r="P259" s="6"/>
      <c r="Q259" s="6"/>
      <c r="R259" s="6"/>
      <c r="S259" s="6"/>
    </row>
    <row r="260" ht="16.5" customHeight="1">
      <c r="A260" s="89"/>
      <c r="B260" s="2"/>
      <c r="C260" s="6"/>
      <c r="D260" s="6"/>
      <c r="E260" s="6"/>
      <c r="F260" s="6"/>
      <c r="G260" s="6"/>
      <c r="H260" s="90"/>
      <c r="I260" s="89"/>
      <c r="J260" s="6"/>
      <c r="K260" s="6"/>
      <c r="L260" s="6"/>
      <c r="M260" s="6"/>
      <c r="N260" s="6"/>
      <c r="O260" s="6"/>
      <c r="P260" s="6"/>
      <c r="Q260" s="6"/>
      <c r="R260" s="6"/>
      <c r="S260" s="6"/>
    </row>
    <row r="261" ht="16.5" customHeight="1">
      <c r="A261" s="89"/>
      <c r="B261" s="2"/>
      <c r="C261" s="6"/>
      <c r="D261" s="6"/>
      <c r="E261" s="6"/>
      <c r="F261" s="6"/>
      <c r="G261" s="6"/>
      <c r="H261" s="90"/>
      <c r="I261" s="89"/>
      <c r="J261" s="6"/>
      <c r="K261" s="6"/>
      <c r="L261" s="6"/>
      <c r="M261" s="6"/>
      <c r="N261" s="6"/>
      <c r="O261" s="6"/>
      <c r="P261" s="6"/>
      <c r="Q261" s="6"/>
      <c r="R261" s="6"/>
      <c r="S261" s="6"/>
    </row>
    <row r="262" ht="16.5" customHeight="1">
      <c r="A262" s="89"/>
      <c r="B262" s="2"/>
      <c r="C262" s="6"/>
      <c r="D262" s="6"/>
      <c r="E262" s="6"/>
      <c r="F262" s="6"/>
      <c r="G262" s="6"/>
      <c r="H262" s="90"/>
      <c r="I262" s="89"/>
      <c r="J262" s="6"/>
      <c r="K262" s="6"/>
      <c r="L262" s="6"/>
      <c r="M262" s="6"/>
      <c r="N262" s="6"/>
      <c r="O262" s="6"/>
      <c r="P262" s="6"/>
      <c r="Q262" s="6"/>
      <c r="R262" s="6"/>
      <c r="S262" s="6"/>
    </row>
    <row r="263" ht="16.5" customHeight="1">
      <c r="A263" s="89"/>
      <c r="B263" s="2"/>
      <c r="C263" s="6"/>
      <c r="D263" s="6"/>
      <c r="E263" s="6"/>
      <c r="F263" s="6"/>
      <c r="G263" s="6"/>
      <c r="H263" s="90"/>
      <c r="I263" s="89"/>
      <c r="J263" s="6"/>
      <c r="K263" s="6"/>
      <c r="L263" s="6"/>
      <c r="M263" s="6"/>
      <c r="N263" s="6"/>
      <c r="O263" s="6"/>
      <c r="P263" s="6"/>
      <c r="Q263" s="6"/>
      <c r="R263" s="6"/>
      <c r="S263" s="6"/>
    </row>
    <row r="264" ht="16.5" customHeight="1">
      <c r="A264" s="89"/>
      <c r="B264" s="2"/>
      <c r="C264" s="6"/>
      <c r="D264" s="6"/>
      <c r="E264" s="6"/>
      <c r="F264" s="6"/>
      <c r="G264" s="6"/>
      <c r="H264" s="90"/>
      <c r="I264" s="89"/>
      <c r="J264" s="6"/>
      <c r="K264" s="6"/>
      <c r="L264" s="6"/>
      <c r="M264" s="6"/>
      <c r="N264" s="6"/>
      <c r="O264" s="6"/>
      <c r="P264" s="6"/>
      <c r="Q264" s="6"/>
      <c r="R264" s="6"/>
      <c r="S264" s="6"/>
    </row>
    <row r="265" ht="16.5" customHeight="1">
      <c r="A265" s="89"/>
      <c r="B265" s="2"/>
      <c r="C265" s="6"/>
      <c r="D265" s="6"/>
      <c r="E265" s="6"/>
      <c r="F265" s="6"/>
      <c r="G265" s="6"/>
      <c r="H265" s="90"/>
      <c r="I265" s="89"/>
      <c r="J265" s="6"/>
      <c r="K265" s="6"/>
      <c r="L265" s="6"/>
      <c r="M265" s="6"/>
      <c r="N265" s="6"/>
      <c r="O265" s="6"/>
      <c r="P265" s="6"/>
      <c r="Q265" s="6"/>
      <c r="R265" s="6"/>
      <c r="S265" s="6"/>
    </row>
    <row r="266" ht="16.5" customHeight="1">
      <c r="A266" s="89"/>
      <c r="B266" s="2"/>
      <c r="C266" s="6"/>
      <c r="D266" s="6"/>
      <c r="E266" s="6"/>
      <c r="F266" s="6"/>
      <c r="G266" s="6"/>
      <c r="H266" s="90"/>
      <c r="I266" s="89"/>
      <c r="J266" s="6"/>
      <c r="K266" s="6"/>
      <c r="L266" s="6"/>
      <c r="M266" s="6"/>
      <c r="N266" s="6"/>
      <c r="O266" s="6"/>
      <c r="P266" s="6"/>
      <c r="Q266" s="6"/>
      <c r="R266" s="6"/>
      <c r="S266" s="6"/>
    </row>
    <row r="267" ht="16.5" customHeight="1">
      <c r="A267" s="89"/>
      <c r="B267" s="2"/>
      <c r="C267" s="6"/>
      <c r="D267" s="6"/>
      <c r="E267" s="6"/>
      <c r="F267" s="6"/>
      <c r="G267" s="6"/>
      <c r="H267" s="90"/>
      <c r="I267" s="89"/>
      <c r="J267" s="6"/>
      <c r="K267" s="6"/>
      <c r="L267" s="6"/>
      <c r="M267" s="6"/>
      <c r="N267" s="6"/>
      <c r="O267" s="6"/>
      <c r="P267" s="6"/>
      <c r="Q267" s="6"/>
      <c r="R267" s="6"/>
      <c r="S267" s="6"/>
    </row>
    <row r="268" ht="16.5" customHeight="1">
      <c r="A268" s="89"/>
      <c r="B268" s="2"/>
      <c r="C268" s="6"/>
      <c r="D268" s="6"/>
      <c r="E268" s="6"/>
      <c r="F268" s="6"/>
      <c r="G268" s="6"/>
      <c r="H268" s="90"/>
      <c r="I268" s="89"/>
      <c r="J268" s="6"/>
      <c r="K268" s="6"/>
      <c r="L268" s="6"/>
      <c r="M268" s="6"/>
      <c r="N268" s="6"/>
      <c r="O268" s="6"/>
      <c r="P268" s="6"/>
      <c r="Q268" s="6"/>
      <c r="R268" s="6"/>
      <c r="S268" s="6"/>
    </row>
    <row r="269" ht="16.5" customHeight="1">
      <c r="A269" s="89"/>
      <c r="B269" s="2"/>
      <c r="C269" s="6"/>
      <c r="D269" s="6"/>
      <c r="E269" s="6"/>
      <c r="F269" s="6"/>
      <c r="G269" s="6"/>
      <c r="H269" s="90"/>
      <c r="I269" s="89"/>
      <c r="J269" s="6"/>
      <c r="K269" s="6"/>
      <c r="L269" s="6"/>
      <c r="M269" s="6"/>
      <c r="N269" s="6"/>
      <c r="O269" s="6"/>
      <c r="P269" s="6"/>
      <c r="Q269" s="6"/>
      <c r="R269" s="6"/>
      <c r="S269" s="6"/>
    </row>
    <row r="270" ht="16.5" customHeight="1">
      <c r="A270" s="89"/>
      <c r="B270" s="2"/>
      <c r="C270" s="6"/>
      <c r="D270" s="6"/>
      <c r="E270" s="6"/>
      <c r="F270" s="6"/>
      <c r="G270" s="6"/>
      <c r="H270" s="90"/>
      <c r="I270" s="89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 ht="16.5" customHeight="1">
      <c r="A271" s="89"/>
      <c r="B271" s="2"/>
      <c r="C271" s="6"/>
      <c r="D271" s="6"/>
      <c r="E271" s="6"/>
      <c r="F271" s="6"/>
      <c r="G271" s="6"/>
      <c r="H271" s="90"/>
      <c r="I271" s="89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 ht="16.5" customHeight="1">
      <c r="A272" s="89"/>
      <c r="B272" s="2"/>
      <c r="C272" s="6"/>
      <c r="D272" s="6"/>
      <c r="E272" s="6"/>
      <c r="F272" s="6"/>
      <c r="G272" s="6"/>
      <c r="H272" s="90"/>
      <c r="I272" s="89"/>
      <c r="J272" s="6"/>
      <c r="K272" s="6"/>
      <c r="L272" s="6"/>
      <c r="M272" s="6"/>
      <c r="N272" s="6"/>
      <c r="O272" s="6"/>
      <c r="P272" s="6"/>
      <c r="Q272" s="6"/>
      <c r="R272" s="6"/>
      <c r="S272" s="6"/>
    </row>
    <row r="273" ht="16.5" customHeight="1">
      <c r="A273" s="89"/>
      <c r="B273" s="2"/>
      <c r="C273" s="6"/>
      <c r="D273" s="6"/>
      <c r="E273" s="6"/>
      <c r="F273" s="6"/>
      <c r="G273" s="6"/>
      <c r="H273" s="90"/>
      <c r="I273" s="89"/>
      <c r="J273" s="6"/>
      <c r="K273" s="6"/>
      <c r="L273" s="6"/>
      <c r="M273" s="6"/>
      <c r="N273" s="6"/>
      <c r="O273" s="6"/>
      <c r="P273" s="6"/>
      <c r="Q273" s="6"/>
      <c r="R273" s="6"/>
      <c r="S273" s="6"/>
    </row>
    <row r="274" ht="16.5" customHeight="1">
      <c r="A274" s="89"/>
      <c r="B274" s="2"/>
      <c r="C274" s="6"/>
      <c r="D274" s="6"/>
      <c r="E274" s="6"/>
      <c r="F274" s="6"/>
      <c r="G274" s="6"/>
      <c r="H274" s="90"/>
      <c r="I274" s="89"/>
      <c r="J274" s="6"/>
      <c r="K274" s="6"/>
      <c r="L274" s="6"/>
      <c r="M274" s="6"/>
      <c r="N274" s="6"/>
      <c r="O274" s="6"/>
      <c r="P274" s="6"/>
      <c r="Q274" s="6"/>
      <c r="R274" s="6"/>
      <c r="S274" s="6"/>
    </row>
    <row r="275" ht="16.5" customHeight="1">
      <c r="A275" s="89"/>
      <c r="B275" s="2"/>
      <c r="C275" s="6"/>
      <c r="D275" s="6"/>
      <c r="E275" s="6"/>
      <c r="F275" s="6"/>
      <c r="G275" s="6"/>
      <c r="H275" s="90"/>
      <c r="I275" s="89"/>
      <c r="J275" s="6"/>
      <c r="K275" s="6"/>
      <c r="L275" s="6"/>
      <c r="M275" s="6"/>
      <c r="N275" s="6"/>
      <c r="O275" s="6"/>
      <c r="P275" s="6"/>
      <c r="Q275" s="6"/>
      <c r="R275" s="6"/>
      <c r="S275" s="6"/>
    </row>
    <row r="276" ht="16.5" customHeight="1">
      <c r="A276" s="89"/>
      <c r="B276" s="2"/>
      <c r="C276" s="6"/>
      <c r="D276" s="6"/>
      <c r="E276" s="6"/>
      <c r="F276" s="6"/>
      <c r="G276" s="6"/>
      <c r="H276" s="90"/>
      <c r="I276" s="89"/>
      <c r="J276" s="6"/>
      <c r="K276" s="6"/>
      <c r="L276" s="6"/>
      <c r="M276" s="6"/>
      <c r="N276" s="6"/>
      <c r="O276" s="6"/>
      <c r="P276" s="6"/>
      <c r="Q276" s="6"/>
      <c r="R276" s="6"/>
      <c r="S276" s="6"/>
    </row>
    <row r="277" ht="16.5" customHeight="1">
      <c r="A277" s="89"/>
      <c r="B277" s="2"/>
      <c r="C277" s="6"/>
      <c r="D277" s="6"/>
      <c r="E277" s="6"/>
      <c r="F277" s="6"/>
      <c r="G277" s="6"/>
      <c r="H277" s="90"/>
      <c r="I277" s="89"/>
      <c r="J277" s="6"/>
      <c r="K277" s="6"/>
      <c r="L277" s="6"/>
      <c r="M277" s="6"/>
      <c r="N277" s="6"/>
      <c r="O277" s="6"/>
      <c r="P277" s="6"/>
      <c r="Q277" s="6"/>
      <c r="R277" s="6"/>
      <c r="S277" s="6"/>
    </row>
    <row r="278" ht="16.5" customHeight="1">
      <c r="A278" s="89"/>
      <c r="B278" s="2"/>
      <c r="C278" s="6"/>
      <c r="D278" s="6"/>
      <c r="E278" s="6"/>
      <c r="F278" s="6"/>
      <c r="G278" s="6"/>
      <c r="H278" s="90"/>
      <c r="I278" s="89"/>
      <c r="J278" s="6"/>
      <c r="K278" s="6"/>
      <c r="L278" s="6"/>
      <c r="M278" s="6"/>
      <c r="N278" s="6"/>
      <c r="O278" s="6"/>
      <c r="P278" s="6"/>
      <c r="Q278" s="6"/>
      <c r="R278" s="6"/>
      <c r="S278" s="6"/>
    </row>
    <row r="279" ht="16.5" customHeight="1">
      <c r="A279" s="89"/>
      <c r="B279" s="2"/>
      <c r="C279" s="6"/>
      <c r="D279" s="6"/>
      <c r="E279" s="6"/>
      <c r="F279" s="6"/>
      <c r="G279" s="6"/>
      <c r="H279" s="90"/>
      <c r="I279" s="89"/>
      <c r="J279" s="6"/>
      <c r="K279" s="6"/>
      <c r="L279" s="6"/>
      <c r="M279" s="6"/>
      <c r="N279" s="6"/>
      <c r="O279" s="6"/>
      <c r="P279" s="6"/>
      <c r="Q279" s="6"/>
      <c r="R279" s="6"/>
      <c r="S279" s="6"/>
    </row>
    <row r="280" ht="16.5" customHeight="1">
      <c r="A280" s="89"/>
      <c r="B280" s="2"/>
      <c r="C280" s="6"/>
      <c r="D280" s="6"/>
      <c r="E280" s="6"/>
      <c r="F280" s="6"/>
      <c r="G280" s="6"/>
      <c r="H280" s="90"/>
      <c r="I280" s="89"/>
      <c r="J280" s="6"/>
      <c r="K280" s="6"/>
      <c r="L280" s="6"/>
      <c r="M280" s="6"/>
      <c r="N280" s="6"/>
      <c r="O280" s="6"/>
      <c r="P280" s="6"/>
      <c r="Q280" s="6"/>
      <c r="R280" s="6"/>
      <c r="S280" s="6"/>
    </row>
    <row r="281" ht="16.5" customHeight="1">
      <c r="A281" s="89"/>
      <c r="B281" s="2"/>
      <c r="C281" s="6"/>
      <c r="D281" s="6"/>
      <c r="E281" s="6"/>
      <c r="F281" s="6"/>
      <c r="G281" s="6"/>
      <c r="H281" s="90"/>
      <c r="I281" s="89"/>
      <c r="J281" s="6"/>
      <c r="K281" s="6"/>
      <c r="L281" s="6"/>
      <c r="M281" s="6"/>
      <c r="N281" s="6"/>
      <c r="O281" s="6"/>
      <c r="P281" s="6"/>
      <c r="Q281" s="6"/>
      <c r="R281" s="6"/>
      <c r="S281" s="6"/>
    </row>
    <row r="282" ht="16.5" customHeight="1">
      <c r="A282" s="89"/>
      <c r="B282" s="2"/>
      <c r="C282" s="6"/>
      <c r="D282" s="6"/>
      <c r="E282" s="6"/>
      <c r="F282" s="6"/>
      <c r="G282" s="6"/>
      <c r="H282" s="90"/>
      <c r="I282" s="89"/>
      <c r="J282" s="6"/>
      <c r="K282" s="6"/>
      <c r="L282" s="6"/>
      <c r="M282" s="6"/>
      <c r="N282" s="6"/>
      <c r="O282" s="6"/>
      <c r="P282" s="6"/>
      <c r="Q282" s="6"/>
      <c r="R282" s="6"/>
      <c r="S282" s="6"/>
    </row>
    <row r="283" ht="16.5" customHeight="1">
      <c r="A283" s="89"/>
      <c r="B283" s="2"/>
      <c r="C283" s="6"/>
      <c r="D283" s="6"/>
      <c r="E283" s="6"/>
      <c r="F283" s="6"/>
      <c r="G283" s="6"/>
      <c r="H283" s="90"/>
      <c r="I283" s="89"/>
      <c r="J283" s="6"/>
      <c r="K283" s="6"/>
      <c r="L283" s="6"/>
      <c r="M283" s="6"/>
      <c r="N283" s="6"/>
      <c r="O283" s="6"/>
      <c r="P283" s="6"/>
      <c r="Q283" s="6"/>
      <c r="R283" s="6"/>
      <c r="S283" s="6"/>
    </row>
    <row r="284" ht="16.5" customHeight="1">
      <c r="A284" s="89"/>
      <c r="B284" s="2"/>
      <c r="C284" s="6"/>
      <c r="D284" s="6"/>
      <c r="E284" s="6"/>
      <c r="F284" s="6"/>
      <c r="G284" s="6"/>
      <c r="H284" s="90"/>
      <c r="I284" s="89"/>
      <c r="J284" s="6"/>
      <c r="K284" s="6"/>
      <c r="L284" s="6"/>
      <c r="M284" s="6"/>
      <c r="N284" s="6"/>
      <c r="O284" s="6"/>
      <c r="P284" s="6"/>
      <c r="Q284" s="6"/>
      <c r="R284" s="6"/>
      <c r="S284" s="6"/>
    </row>
    <row r="285" ht="16.5" customHeight="1">
      <c r="A285" s="89"/>
      <c r="B285" s="2"/>
      <c r="C285" s="6"/>
      <c r="D285" s="6"/>
      <c r="E285" s="6"/>
      <c r="F285" s="6"/>
      <c r="G285" s="6"/>
      <c r="H285" s="90"/>
      <c r="I285" s="89"/>
      <c r="J285" s="6"/>
      <c r="K285" s="6"/>
      <c r="L285" s="6"/>
      <c r="M285" s="6"/>
      <c r="N285" s="6"/>
      <c r="O285" s="6"/>
      <c r="P285" s="6"/>
      <c r="Q285" s="6"/>
      <c r="R285" s="6"/>
      <c r="S285" s="6"/>
    </row>
    <row r="286" ht="16.5" customHeight="1">
      <c r="A286" s="89"/>
      <c r="B286" s="2"/>
      <c r="C286" s="6"/>
      <c r="D286" s="6"/>
      <c r="E286" s="6"/>
      <c r="F286" s="6"/>
      <c r="G286" s="6"/>
      <c r="H286" s="90"/>
      <c r="I286" s="89"/>
      <c r="J286" s="6"/>
      <c r="K286" s="6"/>
      <c r="L286" s="6"/>
      <c r="M286" s="6"/>
      <c r="N286" s="6"/>
      <c r="O286" s="6"/>
      <c r="P286" s="6"/>
      <c r="Q286" s="6"/>
      <c r="R286" s="6"/>
      <c r="S286" s="6"/>
    </row>
    <row r="287" ht="16.5" customHeight="1">
      <c r="A287" s="89"/>
      <c r="B287" s="2"/>
      <c r="C287" s="6"/>
      <c r="D287" s="6"/>
      <c r="E287" s="6"/>
      <c r="F287" s="6"/>
      <c r="G287" s="6"/>
      <c r="H287" s="90"/>
      <c r="I287" s="89"/>
      <c r="J287" s="6"/>
      <c r="K287" s="6"/>
      <c r="L287" s="6"/>
      <c r="M287" s="6"/>
      <c r="N287" s="6"/>
      <c r="O287" s="6"/>
      <c r="P287" s="6"/>
      <c r="Q287" s="6"/>
      <c r="R287" s="6"/>
      <c r="S287" s="6"/>
    </row>
    <row r="288" ht="16.5" customHeight="1">
      <c r="A288" s="89"/>
      <c r="B288" s="2"/>
      <c r="C288" s="6"/>
      <c r="D288" s="6"/>
      <c r="E288" s="6"/>
      <c r="F288" s="6"/>
      <c r="G288" s="6"/>
      <c r="H288" s="90"/>
      <c r="I288" s="89"/>
      <c r="J288" s="6"/>
      <c r="K288" s="6"/>
      <c r="L288" s="6"/>
      <c r="M288" s="6"/>
      <c r="N288" s="6"/>
      <c r="O288" s="6"/>
      <c r="P288" s="6"/>
      <c r="Q288" s="6"/>
      <c r="R288" s="6"/>
      <c r="S288" s="6"/>
    </row>
    <row r="289" ht="16.5" customHeight="1">
      <c r="A289" s="89"/>
      <c r="B289" s="2"/>
      <c r="C289" s="6"/>
      <c r="D289" s="6"/>
      <c r="E289" s="6"/>
      <c r="F289" s="6"/>
      <c r="G289" s="6"/>
      <c r="H289" s="90"/>
      <c r="I289" s="89"/>
      <c r="J289" s="6"/>
      <c r="K289" s="6"/>
      <c r="L289" s="6"/>
      <c r="M289" s="6"/>
      <c r="N289" s="6"/>
      <c r="O289" s="6"/>
      <c r="P289" s="6"/>
      <c r="Q289" s="6"/>
      <c r="R289" s="6"/>
      <c r="S289" s="6"/>
    </row>
    <row r="290" ht="16.5" customHeight="1">
      <c r="A290" s="89"/>
      <c r="B290" s="2"/>
      <c r="C290" s="6"/>
      <c r="D290" s="6"/>
      <c r="E290" s="6"/>
      <c r="F290" s="6"/>
      <c r="G290" s="6"/>
      <c r="H290" s="90"/>
      <c r="I290" s="89"/>
      <c r="J290" s="6"/>
      <c r="K290" s="6"/>
      <c r="L290" s="6"/>
      <c r="M290" s="6"/>
      <c r="N290" s="6"/>
      <c r="O290" s="6"/>
      <c r="P290" s="6"/>
      <c r="Q290" s="6"/>
      <c r="R290" s="6"/>
      <c r="S290" s="6"/>
    </row>
    <row r="291" ht="16.5" customHeight="1">
      <c r="A291" s="89"/>
      <c r="B291" s="2"/>
      <c r="C291" s="6"/>
      <c r="D291" s="6"/>
      <c r="E291" s="6"/>
      <c r="F291" s="6"/>
      <c r="G291" s="6"/>
      <c r="H291" s="90"/>
      <c r="I291" s="89"/>
      <c r="J291" s="6"/>
      <c r="K291" s="6"/>
      <c r="L291" s="6"/>
      <c r="M291" s="6"/>
      <c r="N291" s="6"/>
      <c r="O291" s="6"/>
      <c r="P291" s="6"/>
      <c r="Q291" s="6"/>
      <c r="R291" s="6"/>
      <c r="S291" s="6"/>
    </row>
    <row r="292" ht="16.5" customHeight="1">
      <c r="A292" s="89"/>
      <c r="B292" s="2"/>
      <c r="C292" s="6"/>
      <c r="D292" s="6"/>
      <c r="E292" s="6"/>
      <c r="F292" s="6"/>
      <c r="G292" s="6"/>
      <c r="H292" s="90"/>
      <c r="I292" s="89"/>
      <c r="J292" s="6"/>
      <c r="K292" s="6"/>
      <c r="L292" s="6"/>
      <c r="M292" s="6"/>
      <c r="N292" s="6"/>
      <c r="O292" s="6"/>
      <c r="P292" s="6"/>
      <c r="Q292" s="6"/>
      <c r="R292" s="6"/>
      <c r="S292" s="6"/>
    </row>
    <row r="293" ht="16.5" customHeight="1">
      <c r="A293" s="89"/>
      <c r="B293" s="2"/>
      <c r="C293" s="6"/>
      <c r="D293" s="6"/>
      <c r="E293" s="6"/>
      <c r="F293" s="6"/>
      <c r="G293" s="6"/>
      <c r="H293" s="90"/>
      <c r="I293" s="89"/>
      <c r="J293" s="6"/>
      <c r="K293" s="6"/>
      <c r="L293" s="6"/>
      <c r="M293" s="6"/>
      <c r="N293" s="6"/>
      <c r="O293" s="6"/>
      <c r="P293" s="6"/>
      <c r="Q293" s="6"/>
      <c r="R293" s="6"/>
      <c r="S293" s="6"/>
    </row>
    <row r="294" ht="16.5" customHeight="1">
      <c r="A294" s="89"/>
      <c r="B294" s="2"/>
      <c r="C294" s="6"/>
      <c r="D294" s="6"/>
      <c r="E294" s="6"/>
      <c r="F294" s="6"/>
      <c r="G294" s="6"/>
      <c r="H294" s="90"/>
      <c r="I294" s="89"/>
      <c r="J294" s="6"/>
      <c r="K294" s="6"/>
      <c r="L294" s="6"/>
      <c r="M294" s="6"/>
      <c r="N294" s="6"/>
      <c r="O294" s="6"/>
      <c r="P294" s="6"/>
      <c r="Q294" s="6"/>
      <c r="R294" s="6"/>
      <c r="S294" s="6"/>
    </row>
    <row r="295" ht="16.5" customHeight="1">
      <c r="A295" s="89"/>
      <c r="B295" s="2"/>
      <c r="C295" s="6"/>
      <c r="D295" s="6"/>
      <c r="E295" s="6"/>
      <c r="F295" s="6"/>
      <c r="G295" s="6"/>
      <c r="H295" s="90"/>
      <c r="I295" s="89"/>
      <c r="J295" s="6"/>
      <c r="K295" s="6"/>
      <c r="L295" s="6"/>
      <c r="M295" s="6"/>
      <c r="N295" s="6"/>
      <c r="O295" s="6"/>
      <c r="P295" s="6"/>
      <c r="Q295" s="6"/>
      <c r="R295" s="6"/>
      <c r="S295" s="6"/>
    </row>
    <row r="296" ht="16.5" customHeight="1">
      <c r="A296" s="89"/>
      <c r="B296" s="2"/>
      <c r="C296" s="6"/>
      <c r="D296" s="6"/>
      <c r="E296" s="6"/>
      <c r="F296" s="6"/>
      <c r="G296" s="6"/>
      <c r="H296" s="90"/>
      <c r="I296" s="89"/>
      <c r="J296" s="6"/>
      <c r="K296" s="6"/>
      <c r="L296" s="6"/>
      <c r="M296" s="6"/>
      <c r="N296" s="6"/>
      <c r="O296" s="6"/>
      <c r="P296" s="6"/>
      <c r="Q296" s="6"/>
      <c r="R296" s="6"/>
      <c r="S296" s="6"/>
    </row>
    <row r="297" ht="16.5" customHeight="1">
      <c r="A297" s="89"/>
      <c r="B297" s="2"/>
      <c r="C297" s="6"/>
      <c r="D297" s="6"/>
      <c r="E297" s="6"/>
      <c r="F297" s="6"/>
      <c r="G297" s="6"/>
      <c r="H297" s="90"/>
      <c r="I297" s="89"/>
      <c r="J297" s="6"/>
      <c r="K297" s="6"/>
      <c r="L297" s="6"/>
      <c r="M297" s="6"/>
      <c r="N297" s="6"/>
      <c r="O297" s="6"/>
      <c r="P297" s="6"/>
      <c r="Q297" s="6"/>
      <c r="R297" s="6"/>
      <c r="S297" s="6"/>
    </row>
    <row r="298" ht="16.5" customHeight="1">
      <c r="A298" s="89"/>
      <c r="B298" s="2"/>
      <c r="C298" s="6"/>
      <c r="D298" s="6"/>
      <c r="E298" s="6"/>
      <c r="F298" s="6"/>
      <c r="G298" s="6"/>
      <c r="H298" s="90"/>
      <c r="I298" s="89"/>
      <c r="J298" s="6"/>
      <c r="K298" s="6"/>
      <c r="L298" s="6"/>
      <c r="M298" s="6"/>
      <c r="N298" s="6"/>
      <c r="O298" s="6"/>
      <c r="P298" s="6"/>
      <c r="Q298" s="6"/>
      <c r="R298" s="6"/>
      <c r="S298" s="6"/>
    </row>
    <row r="299" ht="16.5" customHeight="1">
      <c r="A299" s="89"/>
      <c r="B299" s="2"/>
      <c r="C299" s="6"/>
      <c r="D299" s="6"/>
      <c r="E299" s="6"/>
      <c r="F299" s="6"/>
      <c r="G299" s="6"/>
      <c r="H299" s="90"/>
      <c r="I299" s="89"/>
      <c r="J299" s="6"/>
      <c r="K299" s="6"/>
      <c r="L299" s="6"/>
      <c r="M299" s="6"/>
      <c r="N299" s="6"/>
      <c r="O299" s="6"/>
      <c r="P299" s="6"/>
      <c r="Q299" s="6"/>
      <c r="R299" s="6"/>
      <c r="S299" s="6"/>
    </row>
    <row r="300" ht="16.5" customHeight="1">
      <c r="A300" s="89"/>
      <c r="B300" s="2"/>
      <c r="C300" s="6"/>
      <c r="D300" s="6"/>
      <c r="E300" s="6"/>
      <c r="F300" s="6"/>
      <c r="G300" s="6"/>
      <c r="H300" s="90"/>
      <c r="I300" s="89"/>
      <c r="J300" s="6"/>
      <c r="K300" s="6"/>
      <c r="L300" s="6"/>
      <c r="M300" s="6"/>
      <c r="N300" s="6"/>
      <c r="O300" s="6"/>
      <c r="P300" s="6"/>
      <c r="Q300" s="6"/>
      <c r="R300" s="6"/>
      <c r="S300" s="6"/>
    </row>
    <row r="301" ht="16.5" customHeight="1">
      <c r="A301" s="89"/>
      <c r="B301" s="2"/>
      <c r="C301" s="6"/>
      <c r="D301" s="6"/>
      <c r="E301" s="6"/>
      <c r="F301" s="6"/>
      <c r="G301" s="6"/>
      <c r="H301" s="90"/>
      <c r="I301" s="89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2" ht="16.5" customHeight="1">
      <c r="A302" s="89"/>
      <c r="B302" s="2"/>
      <c r="C302" s="6"/>
      <c r="D302" s="6"/>
      <c r="E302" s="6"/>
      <c r="F302" s="6"/>
      <c r="G302" s="6"/>
      <c r="H302" s="90"/>
      <c r="I302" s="89"/>
      <c r="J302" s="6"/>
      <c r="K302" s="6"/>
      <c r="L302" s="6"/>
      <c r="M302" s="6"/>
      <c r="N302" s="6"/>
      <c r="O302" s="6"/>
      <c r="P302" s="6"/>
      <c r="Q302" s="6"/>
      <c r="R302" s="6"/>
      <c r="S302" s="6"/>
    </row>
    <row r="303" ht="16.5" customHeight="1">
      <c r="A303" s="89"/>
      <c r="B303" s="2"/>
      <c r="C303" s="6"/>
      <c r="D303" s="6"/>
      <c r="E303" s="6"/>
      <c r="F303" s="6"/>
      <c r="G303" s="6"/>
      <c r="H303" s="90"/>
      <c r="I303" s="89"/>
      <c r="J303" s="6"/>
      <c r="K303" s="6"/>
      <c r="L303" s="6"/>
      <c r="M303" s="6"/>
      <c r="N303" s="6"/>
      <c r="O303" s="6"/>
      <c r="P303" s="6"/>
      <c r="Q303" s="6"/>
      <c r="R303" s="6"/>
      <c r="S303" s="6"/>
    </row>
    <row r="304" ht="16.5" customHeight="1">
      <c r="A304" s="89"/>
      <c r="B304" s="2"/>
      <c r="C304" s="6"/>
      <c r="D304" s="6"/>
      <c r="E304" s="6"/>
      <c r="F304" s="6"/>
      <c r="G304" s="6"/>
      <c r="H304" s="90"/>
      <c r="I304" s="89"/>
      <c r="J304" s="6"/>
      <c r="K304" s="6"/>
      <c r="L304" s="6"/>
      <c r="M304" s="6"/>
      <c r="N304" s="6"/>
      <c r="O304" s="6"/>
      <c r="P304" s="6"/>
      <c r="Q304" s="6"/>
      <c r="R304" s="6"/>
      <c r="S304" s="6"/>
    </row>
    <row r="305" ht="16.5" customHeight="1">
      <c r="A305" s="89"/>
      <c r="B305" s="2"/>
      <c r="C305" s="6"/>
      <c r="D305" s="6"/>
      <c r="E305" s="6"/>
      <c r="F305" s="6"/>
      <c r="G305" s="6"/>
      <c r="H305" s="90"/>
      <c r="I305" s="89"/>
      <c r="J305" s="6"/>
      <c r="K305" s="6"/>
      <c r="L305" s="6"/>
      <c r="M305" s="6"/>
      <c r="N305" s="6"/>
      <c r="O305" s="6"/>
      <c r="P305" s="6"/>
      <c r="Q305" s="6"/>
      <c r="R305" s="6"/>
      <c r="S305" s="6"/>
    </row>
    <row r="306" ht="16.5" customHeight="1">
      <c r="A306" s="89"/>
      <c r="B306" s="2"/>
      <c r="C306" s="6"/>
      <c r="D306" s="6"/>
      <c r="E306" s="6"/>
      <c r="F306" s="6"/>
      <c r="G306" s="6"/>
      <c r="H306" s="90"/>
      <c r="I306" s="89"/>
      <c r="J306" s="6"/>
      <c r="K306" s="6"/>
      <c r="L306" s="6"/>
      <c r="M306" s="6"/>
      <c r="N306" s="6"/>
      <c r="O306" s="6"/>
      <c r="P306" s="6"/>
      <c r="Q306" s="6"/>
      <c r="R306" s="6"/>
      <c r="S306" s="6"/>
    </row>
    <row r="307" ht="16.5" customHeight="1">
      <c r="A307" s="89"/>
      <c r="B307" s="2"/>
      <c r="C307" s="6"/>
      <c r="D307" s="6"/>
      <c r="E307" s="6"/>
      <c r="F307" s="6"/>
      <c r="G307" s="6"/>
      <c r="H307" s="90"/>
      <c r="I307" s="89"/>
      <c r="J307" s="6"/>
      <c r="K307" s="6"/>
      <c r="L307" s="6"/>
      <c r="M307" s="6"/>
      <c r="N307" s="6"/>
      <c r="O307" s="6"/>
      <c r="P307" s="6"/>
      <c r="Q307" s="6"/>
      <c r="R307" s="6"/>
      <c r="S307" s="6"/>
    </row>
    <row r="308" ht="16.5" customHeight="1">
      <c r="A308" s="89"/>
      <c r="B308" s="2"/>
      <c r="C308" s="6"/>
      <c r="D308" s="6"/>
      <c r="E308" s="6"/>
      <c r="F308" s="6"/>
      <c r="G308" s="6"/>
      <c r="H308" s="90"/>
      <c r="I308" s="89"/>
      <c r="J308" s="6"/>
      <c r="K308" s="6"/>
      <c r="L308" s="6"/>
      <c r="M308" s="6"/>
      <c r="N308" s="6"/>
      <c r="O308" s="6"/>
      <c r="P308" s="6"/>
      <c r="Q308" s="6"/>
      <c r="R308" s="6"/>
      <c r="S308" s="6"/>
    </row>
    <row r="309" ht="16.5" customHeight="1">
      <c r="A309" s="89"/>
      <c r="B309" s="2"/>
      <c r="C309" s="6"/>
      <c r="D309" s="6"/>
      <c r="E309" s="6"/>
      <c r="F309" s="6"/>
      <c r="G309" s="6"/>
      <c r="H309" s="90"/>
      <c r="I309" s="89"/>
      <c r="J309" s="6"/>
      <c r="K309" s="6"/>
      <c r="L309" s="6"/>
      <c r="M309" s="6"/>
      <c r="N309" s="6"/>
      <c r="O309" s="6"/>
      <c r="P309" s="6"/>
      <c r="Q309" s="6"/>
      <c r="R309" s="6"/>
      <c r="S309" s="6"/>
    </row>
    <row r="310" ht="16.5" customHeight="1">
      <c r="A310" s="89"/>
      <c r="B310" s="2"/>
      <c r="C310" s="6"/>
      <c r="D310" s="6"/>
      <c r="E310" s="6"/>
      <c r="F310" s="6"/>
      <c r="G310" s="6"/>
      <c r="H310" s="90"/>
      <c r="I310" s="89"/>
      <c r="J310" s="6"/>
      <c r="K310" s="6"/>
      <c r="L310" s="6"/>
      <c r="M310" s="6"/>
      <c r="N310" s="6"/>
      <c r="O310" s="6"/>
      <c r="P310" s="6"/>
      <c r="Q310" s="6"/>
      <c r="R310" s="6"/>
      <c r="S310" s="6"/>
    </row>
    <row r="311" ht="16.5" customHeight="1">
      <c r="A311" s="89"/>
      <c r="B311" s="2"/>
      <c r="C311" s="6"/>
      <c r="D311" s="6"/>
      <c r="E311" s="6"/>
      <c r="F311" s="6"/>
      <c r="G311" s="6"/>
      <c r="H311" s="90"/>
      <c r="I311" s="89"/>
      <c r="J311" s="6"/>
      <c r="K311" s="6"/>
      <c r="L311" s="6"/>
      <c r="M311" s="6"/>
      <c r="N311" s="6"/>
      <c r="O311" s="6"/>
      <c r="P311" s="6"/>
      <c r="Q311" s="6"/>
      <c r="R311" s="6"/>
      <c r="S311" s="6"/>
    </row>
    <row r="312" ht="16.5" customHeight="1">
      <c r="A312" s="89"/>
      <c r="B312" s="2"/>
      <c r="C312" s="6"/>
      <c r="D312" s="6"/>
      <c r="E312" s="6"/>
      <c r="F312" s="6"/>
      <c r="G312" s="6"/>
      <c r="H312" s="90"/>
      <c r="I312" s="89"/>
      <c r="J312" s="6"/>
      <c r="K312" s="6"/>
      <c r="L312" s="6"/>
      <c r="M312" s="6"/>
      <c r="N312" s="6"/>
      <c r="O312" s="6"/>
      <c r="P312" s="6"/>
      <c r="Q312" s="6"/>
      <c r="R312" s="6"/>
      <c r="S312" s="6"/>
    </row>
    <row r="313" ht="16.5" customHeight="1">
      <c r="A313" s="89"/>
      <c r="B313" s="2"/>
      <c r="C313" s="6"/>
      <c r="D313" s="6"/>
      <c r="E313" s="6"/>
      <c r="F313" s="6"/>
      <c r="G313" s="6"/>
      <c r="H313" s="90"/>
      <c r="I313" s="89"/>
      <c r="J313" s="6"/>
      <c r="K313" s="6"/>
      <c r="L313" s="6"/>
      <c r="M313" s="6"/>
      <c r="N313" s="6"/>
      <c r="O313" s="6"/>
      <c r="P313" s="6"/>
      <c r="Q313" s="6"/>
      <c r="R313" s="6"/>
      <c r="S313" s="6"/>
    </row>
    <row r="314" ht="16.5" customHeight="1">
      <c r="A314" s="89"/>
      <c r="B314" s="2"/>
      <c r="C314" s="6"/>
      <c r="D314" s="6"/>
      <c r="E314" s="6"/>
      <c r="F314" s="6"/>
      <c r="G314" s="6"/>
      <c r="H314" s="90"/>
      <c r="I314" s="89"/>
      <c r="J314" s="6"/>
      <c r="K314" s="6"/>
      <c r="L314" s="6"/>
      <c r="M314" s="6"/>
      <c r="N314" s="6"/>
      <c r="O314" s="6"/>
      <c r="P314" s="6"/>
      <c r="Q314" s="6"/>
      <c r="R314" s="6"/>
      <c r="S314" s="6"/>
    </row>
    <row r="315" ht="16.5" customHeight="1">
      <c r="A315" s="89"/>
      <c r="B315" s="2"/>
      <c r="C315" s="6"/>
      <c r="D315" s="6"/>
      <c r="E315" s="6"/>
      <c r="F315" s="6"/>
      <c r="G315" s="6"/>
      <c r="H315" s="90"/>
      <c r="I315" s="89"/>
      <c r="J315" s="6"/>
      <c r="K315" s="6"/>
      <c r="L315" s="6"/>
      <c r="M315" s="6"/>
      <c r="N315" s="6"/>
      <c r="O315" s="6"/>
      <c r="P315" s="6"/>
      <c r="Q315" s="6"/>
      <c r="R315" s="6"/>
      <c r="S315" s="6"/>
    </row>
    <row r="316" ht="16.5" customHeight="1">
      <c r="A316" s="89"/>
      <c r="B316" s="2"/>
      <c r="C316" s="6"/>
      <c r="D316" s="6"/>
      <c r="E316" s="6"/>
      <c r="F316" s="6"/>
      <c r="G316" s="6"/>
      <c r="H316" s="90"/>
      <c r="I316" s="89"/>
      <c r="J316" s="6"/>
      <c r="K316" s="6"/>
      <c r="L316" s="6"/>
      <c r="M316" s="6"/>
      <c r="N316" s="6"/>
      <c r="O316" s="6"/>
      <c r="P316" s="6"/>
      <c r="Q316" s="6"/>
      <c r="R316" s="6"/>
      <c r="S316" s="6"/>
    </row>
    <row r="317" ht="16.5" customHeight="1">
      <c r="A317" s="89"/>
      <c r="B317" s="2"/>
      <c r="C317" s="6"/>
      <c r="D317" s="6"/>
      <c r="E317" s="6"/>
      <c r="F317" s="6"/>
      <c r="G317" s="6"/>
      <c r="H317" s="90"/>
      <c r="I317" s="89"/>
      <c r="J317" s="6"/>
      <c r="K317" s="6"/>
      <c r="L317" s="6"/>
      <c r="M317" s="6"/>
      <c r="N317" s="6"/>
      <c r="O317" s="6"/>
      <c r="P317" s="6"/>
      <c r="Q317" s="6"/>
      <c r="R317" s="6"/>
      <c r="S317" s="6"/>
    </row>
    <row r="318" ht="16.5" customHeight="1">
      <c r="A318" s="89"/>
      <c r="B318" s="2"/>
      <c r="C318" s="6"/>
      <c r="D318" s="6"/>
      <c r="E318" s="6"/>
      <c r="F318" s="6"/>
      <c r="G318" s="6"/>
      <c r="H318" s="90"/>
      <c r="I318" s="89"/>
      <c r="J318" s="6"/>
      <c r="K318" s="6"/>
      <c r="L318" s="6"/>
      <c r="M318" s="6"/>
      <c r="N318" s="6"/>
      <c r="O318" s="6"/>
      <c r="P318" s="6"/>
      <c r="Q318" s="6"/>
      <c r="R318" s="6"/>
      <c r="S318" s="6"/>
    </row>
    <row r="319" ht="16.5" customHeight="1">
      <c r="A319" s="89"/>
      <c r="B319" s="2"/>
      <c r="C319" s="6"/>
      <c r="D319" s="6"/>
      <c r="E319" s="6"/>
      <c r="F319" s="6"/>
      <c r="G319" s="6"/>
      <c r="H319" s="90"/>
      <c r="I319" s="89"/>
      <c r="J319" s="6"/>
      <c r="K319" s="6"/>
      <c r="L319" s="6"/>
      <c r="M319" s="6"/>
      <c r="N319" s="6"/>
      <c r="O319" s="6"/>
      <c r="P319" s="6"/>
      <c r="Q319" s="6"/>
      <c r="R319" s="6"/>
      <c r="S319" s="6"/>
    </row>
    <row r="320" ht="16.5" customHeight="1">
      <c r="A320" s="89"/>
      <c r="B320" s="2"/>
      <c r="C320" s="6"/>
      <c r="D320" s="6"/>
      <c r="E320" s="6"/>
      <c r="F320" s="6"/>
      <c r="G320" s="6"/>
      <c r="H320" s="90"/>
      <c r="I320" s="89"/>
      <c r="J320" s="6"/>
      <c r="K320" s="6"/>
      <c r="L320" s="6"/>
      <c r="M320" s="6"/>
      <c r="N320" s="6"/>
      <c r="O320" s="6"/>
      <c r="P320" s="6"/>
      <c r="Q320" s="6"/>
      <c r="R320" s="6"/>
      <c r="S320" s="6"/>
    </row>
    <row r="321" ht="16.5" customHeight="1">
      <c r="A321" s="89"/>
      <c r="B321" s="2"/>
      <c r="C321" s="6"/>
      <c r="D321" s="6"/>
      <c r="E321" s="6"/>
      <c r="F321" s="6"/>
      <c r="G321" s="6"/>
      <c r="H321" s="90"/>
      <c r="I321" s="89"/>
      <c r="J321" s="6"/>
      <c r="K321" s="6"/>
      <c r="L321" s="6"/>
      <c r="M321" s="6"/>
      <c r="N321" s="6"/>
      <c r="O321" s="6"/>
      <c r="P321" s="6"/>
      <c r="Q321" s="6"/>
      <c r="R321" s="6"/>
      <c r="S321" s="6"/>
    </row>
    <row r="322" ht="16.5" customHeight="1">
      <c r="A322" s="89"/>
      <c r="B322" s="2"/>
      <c r="C322" s="6"/>
      <c r="D322" s="6"/>
      <c r="E322" s="6"/>
      <c r="F322" s="6"/>
      <c r="G322" s="6"/>
      <c r="H322" s="90"/>
      <c r="I322" s="89"/>
      <c r="J322" s="6"/>
      <c r="K322" s="6"/>
      <c r="L322" s="6"/>
      <c r="M322" s="6"/>
      <c r="N322" s="6"/>
      <c r="O322" s="6"/>
      <c r="P322" s="6"/>
      <c r="Q322" s="6"/>
      <c r="R322" s="6"/>
      <c r="S322" s="6"/>
    </row>
    <row r="323" ht="16.5" customHeight="1">
      <c r="A323" s="89"/>
      <c r="B323" s="2"/>
      <c r="C323" s="6"/>
      <c r="D323" s="6"/>
      <c r="E323" s="6"/>
      <c r="F323" s="6"/>
      <c r="G323" s="6"/>
      <c r="H323" s="90"/>
      <c r="I323" s="89"/>
      <c r="J323" s="6"/>
      <c r="K323" s="6"/>
      <c r="L323" s="6"/>
      <c r="M323" s="6"/>
      <c r="N323" s="6"/>
      <c r="O323" s="6"/>
      <c r="P323" s="6"/>
      <c r="Q323" s="6"/>
      <c r="R323" s="6"/>
      <c r="S323" s="6"/>
    </row>
    <row r="324" ht="16.5" customHeight="1">
      <c r="A324" s="89"/>
      <c r="B324" s="2"/>
      <c r="C324" s="6"/>
      <c r="D324" s="6"/>
      <c r="E324" s="6"/>
      <c r="F324" s="6"/>
      <c r="G324" s="6"/>
      <c r="H324" s="90"/>
      <c r="I324" s="89"/>
      <c r="J324" s="6"/>
      <c r="K324" s="6"/>
      <c r="L324" s="6"/>
      <c r="M324" s="6"/>
      <c r="N324" s="6"/>
      <c r="O324" s="6"/>
      <c r="P324" s="6"/>
      <c r="Q324" s="6"/>
      <c r="R324" s="6"/>
      <c r="S324" s="6"/>
    </row>
    <row r="325" ht="16.5" customHeight="1">
      <c r="A325" s="89"/>
      <c r="B325" s="2"/>
      <c r="C325" s="6"/>
      <c r="D325" s="6"/>
      <c r="E325" s="6"/>
      <c r="F325" s="6"/>
      <c r="G325" s="6"/>
      <c r="H325" s="90"/>
      <c r="I325" s="89"/>
      <c r="J325" s="6"/>
      <c r="K325" s="6"/>
      <c r="L325" s="6"/>
      <c r="M325" s="6"/>
      <c r="N325" s="6"/>
      <c r="O325" s="6"/>
      <c r="P325" s="6"/>
      <c r="Q325" s="6"/>
      <c r="R325" s="6"/>
      <c r="S325" s="6"/>
    </row>
    <row r="326" ht="16.5" customHeight="1">
      <c r="A326" s="89"/>
      <c r="B326" s="2"/>
      <c r="C326" s="6"/>
      <c r="D326" s="6"/>
      <c r="E326" s="6"/>
      <c r="F326" s="6"/>
      <c r="G326" s="6"/>
      <c r="H326" s="90"/>
      <c r="I326" s="89"/>
      <c r="J326" s="6"/>
      <c r="K326" s="6"/>
      <c r="L326" s="6"/>
      <c r="M326" s="6"/>
      <c r="N326" s="6"/>
      <c r="O326" s="6"/>
      <c r="P326" s="6"/>
      <c r="Q326" s="6"/>
      <c r="R326" s="6"/>
      <c r="S326" s="6"/>
    </row>
    <row r="327" ht="16.5" customHeight="1">
      <c r="A327" s="89"/>
      <c r="B327" s="2"/>
      <c r="C327" s="6"/>
      <c r="D327" s="6"/>
      <c r="E327" s="6"/>
      <c r="F327" s="6"/>
      <c r="G327" s="6"/>
      <c r="H327" s="90"/>
      <c r="I327" s="89"/>
      <c r="J327" s="6"/>
      <c r="K327" s="6"/>
      <c r="L327" s="6"/>
      <c r="M327" s="6"/>
      <c r="N327" s="6"/>
      <c r="O327" s="6"/>
      <c r="P327" s="6"/>
      <c r="Q327" s="6"/>
      <c r="R327" s="6"/>
      <c r="S327" s="6"/>
    </row>
    <row r="328" ht="16.5" customHeight="1">
      <c r="A328" s="89"/>
      <c r="B328" s="2"/>
      <c r="C328" s="6"/>
      <c r="D328" s="6"/>
      <c r="E328" s="6"/>
      <c r="F328" s="6"/>
      <c r="G328" s="6"/>
      <c r="H328" s="90"/>
      <c r="I328" s="89"/>
      <c r="J328" s="6"/>
      <c r="K328" s="6"/>
      <c r="L328" s="6"/>
      <c r="M328" s="6"/>
      <c r="N328" s="6"/>
      <c r="O328" s="6"/>
      <c r="P328" s="6"/>
      <c r="Q328" s="6"/>
      <c r="R328" s="6"/>
      <c r="S328" s="6"/>
    </row>
    <row r="329" ht="16.5" customHeight="1">
      <c r="A329" s="89"/>
      <c r="B329" s="2"/>
      <c r="C329" s="6"/>
      <c r="D329" s="6"/>
      <c r="E329" s="6"/>
      <c r="F329" s="6"/>
      <c r="G329" s="6"/>
      <c r="H329" s="90"/>
      <c r="I329" s="89"/>
      <c r="J329" s="6"/>
      <c r="K329" s="6"/>
      <c r="L329" s="6"/>
      <c r="M329" s="6"/>
      <c r="N329" s="6"/>
      <c r="O329" s="6"/>
      <c r="P329" s="6"/>
      <c r="Q329" s="6"/>
      <c r="R329" s="6"/>
      <c r="S329" s="6"/>
    </row>
    <row r="330" ht="16.5" customHeight="1">
      <c r="A330" s="89"/>
      <c r="B330" s="2"/>
      <c r="C330" s="6"/>
      <c r="D330" s="6"/>
      <c r="E330" s="6"/>
      <c r="F330" s="6"/>
      <c r="G330" s="6"/>
      <c r="H330" s="90"/>
      <c r="I330" s="89"/>
      <c r="J330" s="6"/>
      <c r="K330" s="6"/>
      <c r="L330" s="6"/>
      <c r="M330" s="6"/>
      <c r="N330" s="6"/>
      <c r="O330" s="6"/>
      <c r="P330" s="6"/>
      <c r="Q330" s="6"/>
      <c r="R330" s="6"/>
      <c r="S330" s="6"/>
    </row>
    <row r="331" ht="16.5" customHeight="1">
      <c r="A331" s="89"/>
      <c r="B331" s="2"/>
      <c r="C331" s="6"/>
      <c r="D331" s="6"/>
      <c r="E331" s="6"/>
      <c r="F331" s="6"/>
      <c r="G331" s="6"/>
      <c r="H331" s="90"/>
      <c r="I331" s="89"/>
      <c r="J331" s="6"/>
      <c r="K331" s="6"/>
      <c r="L331" s="6"/>
      <c r="M331" s="6"/>
      <c r="N331" s="6"/>
      <c r="O331" s="6"/>
      <c r="P331" s="6"/>
      <c r="Q331" s="6"/>
      <c r="R331" s="6"/>
      <c r="S331" s="6"/>
    </row>
    <row r="332" ht="16.5" customHeight="1">
      <c r="A332" s="89"/>
      <c r="B332" s="2"/>
      <c r="C332" s="6"/>
      <c r="D332" s="6"/>
      <c r="E332" s="6"/>
      <c r="F332" s="6"/>
      <c r="G332" s="6"/>
      <c r="H332" s="90"/>
      <c r="I332" s="89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 ht="16.5" customHeight="1">
      <c r="A333" s="89"/>
      <c r="B333" s="2"/>
      <c r="C333" s="6"/>
      <c r="D333" s="6"/>
      <c r="E333" s="6"/>
      <c r="F333" s="6"/>
      <c r="G333" s="6"/>
      <c r="H333" s="90"/>
      <c r="I333" s="89"/>
      <c r="J333" s="6"/>
      <c r="K333" s="6"/>
      <c r="L333" s="6"/>
      <c r="M333" s="6"/>
      <c r="N333" s="6"/>
      <c r="O333" s="6"/>
      <c r="P333" s="6"/>
      <c r="Q333" s="6"/>
      <c r="R333" s="6"/>
      <c r="S333" s="6"/>
    </row>
    <row r="334" ht="16.5" customHeight="1">
      <c r="A334" s="89"/>
      <c r="B334" s="2"/>
      <c r="C334" s="6"/>
      <c r="D334" s="6"/>
      <c r="E334" s="6"/>
      <c r="F334" s="6"/>
      <c r="G334" s="6"/>
      <c r="H334" s="90"/>
      <c r="I334" s="89"/>
      <c r="J334" s="6"/>
      <c r="K334" s="6"/>
      <c r="L334" s="6"/>
      <c r="M334" s="6"/>
      <c r="N334" s="6"/>
      <c r="O334" s="6"/>
      <c r="P334" s="6"/>
      <c r="Q334" s="6"/>
      <c r="R334" s="6"/>
      <c r="S334" s="6"/>
    </row>
    <row r="335" ht="16.5" customHeight="1">
      <c r="A335" s="89"/>
      <c r="B335" s="2"/>
      <c r="C335" s="6"/>
      <c r="D335" s="6"/>
      <c r="E335" s="6"/>
      <c r="F335" s="6"/>
      <c r="G335" s="6"/>
      <c r="H335" s="90"/>
      <c r="I335" s="89"/>
      <c r="J335" s="6"/>
      <c r="K335" s="6"/>
      <c r="L335" s="6"/>
      <c r="M335" s="6"/>
      <c r="N335" s="6"/>
      <c r="O335" s="6"/>
      <c r="P335" s="6"/>
      <c r="Q335" s="6"/>
      <c r="R335" s="6"/>
      <c r="S335" s="6"/>
    </row>
    <row r="336" ht="16.5" customHeight="1">
      <c r="A336" s="89"/>
      <c r="B336" s="2"/>
      <c r="C336" s="6"/>
      <c r="D336" s="6"/>
      <c r="E336" s="6"/>
      <c r="F336" s="6"/>
      <c r="G336" s="6"/>
      <c r="H336" s="90"/>
      <c r="I336" s="89"/>
      <c r="J336" s="6"/>
      <c r="K336" s="6"/>
      <c r="L336" s="6"/>
      <c r="M336" s="6"/>
      <c r="N336" s="6"/>
      <c r="O336" s="6"/>
      <c r="P336" s="6"/>
      <c r="Q336" s="6"/>
      <c r="R336" s="6"/>
      <c r="S336" s="6"/>
    </row>
    <row r="337" ht="16.5" customHeight="1">
      <c r="A337" s="89"/>
      <c r="B337" s="2"/>
      <c r="C337" s="6"/>
      <c r="D337" s="6"/>
      <c r="E337" s="6"/>
      <c r="F337" s="6"/>
      <c r="G337" s="6"/>
      <c r="H337" s="90"/>
      <c r="I337" s="89"/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 ht="16.5" customHeight="1">
      <c r="A338" s="89"/>
      <c r="B338" s="2"/>
      <c r="C338" s="6"/>
      <c r="D338" s="6"/>
      <c r="E338" s="6"/>
      <c r="F338" s="6"/>
      <c r="G338" s="6"/>
      <c r="H338" s="90"/>
      <c r="I338" s="89"/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 ht="16.5" customHeight="1">
      <c r="A339" s="89"/>
      <c r="B339" s="2"/>
      <c r="C339" s="6"/>
      <c r="D339" s="6"/>
      <c r="E339" s="6"/>
      <c r="F339" s="6"/>
      <c r="G339" s="6"/>
      <c r="H339" s="90"/>
      <c r="I339" s="89"/>
      <c r="J339" s="6"/>
      <c r="K339" s="6"/>
      <c r="L339" s="6"/>
      <c r="M339" s="6"/>
      <c r="N339" s="6"/>
      <c r="O339" s="6"/>
      <c r="P339" s="6"/>
      <c r="Q339" s="6"/>
      <c r="R339" s="6"/>
      <c r="S339" s="6"/>
    </row>
    <row r="340" ht="16.5" customHeight="1">
      <c r="A340" s="89"/>
      <c r="B340" s="2"/>
      <c r="C340" s="6"/>
      <c r="D340" s="6"/>
      <c r="E340" s="6"/>
      <c r="F340" s="6"/>
      <c r="G340" s="6"/>
      <c r="H340" s="90"/>
      <c r="I340" s="89"/>
      <c r="J340" s="6"/>
      <c r="K340" s="6"/>
      <c r="L340" s="6"/>
      <c r="M340" s="6"/>
      <c r="N340" s="6"/>
      <c r="O340" s="6"/>
      <c r="P340" s="6"/>
      <c r="Q340" s="6"/>
      <c r="R340" s="6"/>
      <c r="S340" s="6"/>
    </row>
    <row r="341" ht="16.5" customHeight="1">
      <c r="A341" s="89"/>
      <c r="B341" s="2"/>
      <c r="C341" s="6"/>
      <c r="D341" s="6"/>
      <c r="E341" s="6"/>
      <c r="F341" s="6"/>
      <c r="G341" s="6"/>
      <c r="H341" s="90"/>
      <c r="I341" s="89"/>
      <c r="J341" s="6"/>
      <c r="K341" s="6"/>
      <c r="L341" s="6"/>
      <c r="M341" s="6"/>
      <c r="N341" s="6"/>
      <c r="O341" s="6"/>
      <c r="P341" s="6"/>
      <c r="Q341" s="6"/>
      <c r="R341" s="6"/>
      <c r="S341" s="6"/>
    </row>
    <row r="342" ht="16.5" customHeight="1">
      <c r="A342" s="89"/>
      <c r="B342" s="2"/>
      <c r="C342" s="6"/>
      <c r="D342" s="6"/>
      <c r="E342" s="6"/>
      <c r="F342" s="6"/>
      <c r="G342" s="6"/>
      <c r="H342" s="90"/>
      <c r="I342" s="89"/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 ht="16.5" customHeight="1">
      <c r="A343" s="89"/>
      <c r="B343" s="2"/>
      <c r="C343" s="6"/>
      <c r="D343" s="6"/>
      <c r="E343" s="6"/>
      <c r="F343" s="6"/>
      <c r="G343" s="6"/>
      <c r="H343" s="90"/>
      <c r="I343" s="89"/>
      <c r="J343" s="6"/>
      <c r="K343" s="6"/>
      <c r="L343" s="6"/>
      <c r="M343" s="6"/>
      <c r="N343" s="6"/>
      <c r="O343" s="6"/>
      <c r="P343" s="6"/>
      <c r="Q343" s="6"/>
      <c r="R343" s="6"/>
      <c r="S343" s="6"/>
    </row>
    <row r="344" ht="16.5" customHeight="1">
      <c r="A344" s="89"/>
      <c r="B344" s="2"/>
      <c r="C344" s="6"/>
      <c r="D344" s="6"/>
      <c r="E344" s="6"/>
      <c r="F344" s="6"/>
      <c r="G344" s="6"/>
      <c r="H344" s="90"/>
      <c r="I344" s="89"/>
      <c r="J344" s="6"/>
      <c r="K344" s="6"/>
      <c r="L344" s="6"/>
      <c r="M344" s="6"/>
      <c r="N344" s="6"/>
      <c r="O344" s="6"/>
      <c r="P344" s="6"/>
      <c r="Q344" s="6"/>
      <c r="R344" s="6"/>
      <c r="S344" s="6"/>
    </row>
    <row r="345" ht="16.5" customHeight="1">
      <c r="A345" s="89"/>
      <c r="B345" s="2"/>
      <c r="C345" s="6"/>
      <c r="D345" s="6"/>
      <c r="E345" s="6"/>
      <c r="F345" s="6"/>
      <c r="G345" s="6"/>
      <c r="H345" s="90"/>
      <c r="I345" s="89"/>
      <c r="J345" s="6"/>
      <c r="K345" s="6"/>
      <c r="L345" s="6"/>
      <c r="M345" s="6"/>
      <c r="N345" s="6"/>
      <c r="O345" s="6"/>
      <c r="P345" s="6"/>
      <c r="Q345" s="6"/>
      <c r="R345" s="6"/>
      <c r="S345" s="6"/>
    </row>
    <row r="346" ht="16.5" customHeight="1">
      <c r="A346" s="89"/>
      <c r="B346" s="2"/>
      <c r="C346" s="6"/>
      <c r="D346" s="6"/>
      <c r="E346" s="6"/>
      <c r="F346" s="6"/>
      <c r="G346" s="6"/>
      <c r="H346" s="90"/>
      <c r="I346" s="89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 ht="16.5" customHeight="1">
      <c r="A347" s="89"/>
      <c r="B347" s="2"/>
      <c r="C347" s="6"/>
      <c r="D347" s="6"/>
      <c r="E347" s="6"/>
      <c r="F347" s="6"/>
      <c r="G347" s="6"/>
      <c r="H347" s="90"/>
      <c r="I347" s="89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 ht="16.5" customHeight="1">
      <c r="A348" s="89"/>
      <c r="B348" s="2"/>
      <c r="C348" s="6"/>
      <c r="D348" s="6"/>
      <c r="E348" s="6"/>
      <c r="F348" s="6"/>
      <c r="G348" s="6"/>
      <c r="H348" s="90"/>
      <c r="I348" s="89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 ht="16.5" customHeight="1">
      <c r="A349" s="89"/>
      <c r="B349" s="2"/>
      <c r="C349" s="6"/>
      <c r="D349" s="6"/>
      <c r="E349" s="6"/>
      <c r="F349" s="6"/>
      <c r="G349" s="6"/>
      <c r="H349" s="90"/>
      <c r="I349" s="89"/>
      <c r="J349" s="6"/>
      <c r="K349" s="6"/>
      <c r="L349" s="6"/>
      <c r="M349" s="6"/>
      <c r="N349" s="6"/>
      <c r="O349" s="6"/>
      <c r="P349" s="6"/>
      <c r="Q349" s="6"/>
      <c r="R349" s="6"/>
      <c r="S349" s="6"/>
    </row>
    <row r="350" ht="16.5" customHeight="1">
      <c r="A350" s="89"/>
      <c r="B350" s="2"/>
      <c r="C350" s="6"/>
      <c r="D350" s="6"/>
      <c r="E350" s="6"/>
      <c r="F350" s="6"/>
      <c r="G350" s="6"/>
      <c r="H350" s="90"/>
      <c r="I350" s="89"/>
      <c r="J350" s="6"/>
      <c r="K350" s="6"/>
      <c r="L350" s="6"/>
      <c r="M350" s="6"/>
      <c r="N350" s="6"/>
      <c r="O350" s="6"/>
      <c r="P350" s="6"/>
      <c r="Q350" s="6"/>
      <c r="R350" s="6"/>
      <c r="S350" s="6"/>
    </row>
    <row r="351" ht="16.5" customHeight="1">
      <c r="A351" s="89"/>
      <c r="B351" s="2"/>
      <c r="C351" s="6"/>
      <c r="D351" s="6"/>
      <c r="E351" s="6"/>
      <c r="F351" s="6"/>
      <c r="G351" s="6"/>
      <c r="H351" s="90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</row>
    <row r="352" ht="16.5" customHeight="1">
      <c r="A352" s="89"/>
      <c r="B352" s="2"/>
      <c r="C352" s="6"/>
      <c r="D352" s="6"/>
      <c r="E352" s="6"/>
      <c r="F352" s="6"/>
      <c r="G352" s="6"/>
      <c r="H352" s="90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</row>
    <row r="353" ht="16.5" customHeight="1">
      <c r="A353" s="89"/>
      <c r="B353" s="2"/>
      <c r="C353" s="6"/>
      <c r="D353" s="6"/>
      <c r="E353" s="6"/>
      <c r="F353" s="6"/>
      <c r="G353" s="6"/>
      <c r="H353" s="90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</row>
    <row r="354" ht="16.5" customHeight="1">
      <c r="A354" s="89"/>
      <c r="B354" s="2"/>
      <c r="C354" s="6"/>
      <c r="D354" s="6"/>
      <c r="E354" s="6"/>
      <c r="F354" s="6"/>
      <c r="G354" s="6"/>
      <c r="H354" s="90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</row>
    <row r="355" ht="16.5" customHeight="1">
      <c r="A355" s="89"/>
      <c r="B355" s="2"/>
      <c r="C355" s="6"/>
      <c r="D355" s="6"/>
      <c r="E355" s="6"/>
      <c r="F355" s="6"/>
      <c r="G355" s="6"/>
      <c r="H355" s="90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</row>
    <row r="356" ht="16.5" customHeight="1">
      <c r="A356" s="89"/>
      <c r="B356" s="2"/>
      <c r="C356" s="6"/>
      <c r="D356" s="6"/>
      <c r="E356" s="6"/>
      <c r="F356" s="6"/>
      <c r="G356" s="6"/>
      <c r="H356" s="90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</row>
    <row r="357" ht="16.5" customHeight="1">
      <c r="A357" s="89"/>
      <c r="B357" s="2"/>
      <c r="C357" s="6"/>
      <c r="D357" s="6"/>
      <c r="E357" s="6"/>
      <c r="F357" s="6"/>
      <c r="G357" s="6"/>
      <c r="H357" s="90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</row>
    <row r="358" ht="16.5" customHeight="1">
      <c r="A358" s="89"/>
      <c r="B358" s="2"/>
      <c r="C358" s="6"/>
      <c r="D358" s="6"/>
      <c r="E358" s="6"/>
      <c r="F358" s="6"/>
      <c r="G358" s="6"/>
      <c r="H358" s="90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</row>
    <row r="359" ht="16.5" customHeight="1">
      <c r="A359" s="89"/>
      <c r="B359" s="2"/>
      <c r="C359" s="6"/>
      <c r="D359" s="6"/>
      <c r="E359" s="6"/>
      <c r="F359" s="6"/>
      <c r="G359" s="6"/>
      <c r="H359" s="90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</row>
    <row r="360" ht="15.75" customHeight="1">
      <c r="H360" s="90"/>
    </row>
    <row r="361" ht="15.75" customHeight="1">
      <c r="H361" s="90"/>
    </row>
    <row r="362" ht="15.75" customHeight="1">
      <c r="H362" s="90"/>
    </row>
    <row r="363" ht="15.75" customHeight="1">
      <c r="H363" s="90"/>
    </row>
    <row r="364" ht="15.75" customHeight="1">
      <c r="H364" s="90"/>
    </row>
    <row r="365" ht="15.75" customHeight="1">
      <c r="H365" s="90"/>
    </row>
    <row r="366" ht="15.75" customHeight="1">
      <c r="H366" s="90"/>
    </row>
    <row r="367" ht="15.75" customHeight="1">
      <c r="H367" s="90"/>
    </row>
    <row r="368" ht="15.75" customHeight="1">
      <c r="H368" s="90"/>
    </row>
    <row r="369" ht="15.75" customHeight="1">
      <c r="H369" s="90"/>
    </row>
    <row r="370" ht="15.75" customHeight="1">
      <c r="H370" s="90"/>
    </row>
    <row r="371" ht="15.75" customHeight="1">
      <c r="H371" s="90"/>
    </row>
    <row r="372" ht="15.75" customHeight="1">
      <c r="H372" s="90"/>
    </row>
    <row r="373" ht="15.75" customHeight="1">
      <c r="H373" s="90"/>
    </row>
    <row r="374" ht="15.75" customHeight="1">
      <c r="H374" s="90"/>
    </row>
    <row r="375" ht="15.75" customHeight="1">
      <c r="H375" s="90"/>
    </row>
    <row r="376" ht="15.75" customHeight="1">
      <c r="H376" s="90"/>
    </row>
    <row r="377" ht="15.75" customHeight="1">
      <c r="H377" s="90"/>
    </row>
    <row r="378" ht="15.75" customHeight="1">
      <c r="H378" s="90"/>
    </row>
    <row r="379" ht="15.75" customHeight="1">
      <c r="H379" s="90"/>
    </row>
    <row r="380" ht="15.75" customHeight="1">
      <c r="H380" s="90"/>
    </row>
    <row r="381" ht="15.75" customHeight="1">
      <c r="H381" s="90"/>
    </row>
    <row r="382" ht="15.75" customHeight="1">
      <c r="H382" s="90"/>
    </row>
    <row r="383" ht="15.75" customHeight="1">
      <c r="H383" s="90"/>
    </row>
    <row r="384" ht="15.75" customHeight="1">
      <c r="H384" s="90"/>
    </row>
    <row r="385" ht="15.75" customHeight="1">
      <c r="H385" s="90"/>
    </row>
    <row r="386" ht="15.75" customHeight="1">
      <c r="H386" s="90"/>
    </row>
    <row r="387" ht="15.75" customHeight="1">
      <c r="H387" s="90"/>
    </row>
    <row r="388" ht="15.75" customHeight="1">
      <c r="H388" s="90"/>
    </row>
    <row r="389" ht="15.75" customHeight="1">
      <c r="H389" s="90"/>
    </row>
    <row r="390" ht="15.75" customHeight="1">
      <c r="H390" s="90"/>
    </row>
    <row r="391" ht="15.75" customHeight="1">
      <c r="H391" s="90"/>
    </row>
    <row r="392" ht="15.75" customHeight="1">
      <c r="H392" s="90"/>
    </row>
    <row r="393" ht="15.75" customHeight="1">
      <c r="H393" s="90"/>
    </row>
    <row r="394" ht="15.75" customHeight="1">
      <c r="H394" s="90"/>
    </row>
    <row r="395" ht="15.75" customHeight="1">
      <c r="H395" s="90"/>
    </row>
    <row r="396" ht="15.75" customHeight="1">
      <c r="H396" s="90"/>
    </row>
    <row r="397" ht="15.75" customHeight="1">
      <c r="H397" s="90"/>
    </row>
    <row r="398" ht="15.75" customHeight="1">
      <c r="H398" s="90"/>
    </row>
    <row r="399" ht="15.75" customHeight="1">
      <c r="H399" s="90"/>
    </row>
    <row r="400" ht="15.75" customHeight="1">
      <c r="H400" s="90"/>
    </row>
    <row r="401" ht="15.75" customHeight="1">
      <c r="H401" s="90"/>
    </row>
    <row r="402" ht="15.75" customHeight="1">
      <c r="H402" s="90"/>
    </row>
    <row r="403" ht="15.75" customHeight="1">
      <c r="H403" s="90"/>
    </row>
    <row r="404" ht="15.75" customHeight="1">
      <c r="H404" s="90"/>
    </row>
    <row r="405" ht="15.75" customHeight="1">
      <c r="H405" s="90"/>
    </row>
    <row r="406" ht="15.75" customHeight="1">
      <c r="H406" s="90"/>
    </row>
    <row r="407" ht="15.75" customHeight="1">
      <c r="H407" s="90"/>
    </row>
    <row r="408" ht="15.75" customHeight="1">
      <c r="H408" s="90"/>
    </row>
    <row r="409" ht="15.75" customHeight="1">
      <c r="H409" s="90"/>
    </row>
    <row r="410" ht="15.75" customHeight="1">
      <c r="H410" s="90"/>
    </row>
    <row r="411" ht="15.75" customHeight="1">
      <c r="H411" s="90"/>
    </row>
    <row r="412" ht="15.75" customHeight="1">
      <c r="H412" s="90"/>
    </row>
    <row r="413" ht="15.75" customHeight="1">
      <c r="H413" s="90"/>
    </row>
    <row r="414" ht="15.75" customHeight="1">
      <c r="H414" s="90"/>
    </row>
    <row r="415" ht="15.75" customHeight="1">
      <c r="H415" s="90"/>
    </row>
    <row r="416" ht="15.75" customHeight="1">
      <c r="H416" s="90"/>
    </row>
    <row r="417" ht="15.75" customHeight="1">
      <c r="H417" s="90"/>
    </row>
    <row r="418" ht="15.75" customHeight="1">
      <c r="H418" s="90"/>
    </row>
    <row r="419" ht="15.75" customHeight="1">
      <c r="H419" s="90"/>
    </row>
    <row r="420" ht="15.75" customHeight="1">
      <c r="H420" s="90"/>
    </row>
    <row r="421" ht="15.75" customHeight="1">
      <c r="H421" s="90"/>
    </row>
    <row r="422" ht="15.75" customHeight="1">
      <c r="H422" s="90"/>
    </row>
    <row r="423" ht="15.75" customHeight="1">
      <c r="H423" s="90"/>
    </row>
    <row r="424" ht="15.75" customHeight="1">
      <c r="H424" s="90"/>
    </row>
    <row r="425" ht="15.75" customHeight="1">
      <c r="H425" s="90"/>
    </row>
    <row r="426" ht="15.75" customHeight="1">
      <c r="H426" s="90"/>
    </row>
    <row r="427" ht="15.75" customHeight="1">
      <c r="H427" s="90"/>
    </row>
    <row r="428" ht="15.75" customHeight="1">
      <c r="H428" s="90"/>
    </row>
    <row r="429" ht="15.75" customHeight="1">
      <c r="H429" s="90"/>
    </row>
    <row r="430" ht="15.75" customHeight="1">
      <c r="H430" s="90"/>
    </row>
    <row r="431" ht="15.75" customHeight="1">
      <c r="H431" s="90"/>
    </row>
    <row r="432" ht="15.75" customHeight="1">
      <c r="H432" s="90"/>
    </row>
    <row r="433" ht="15.75" customHeight="1">
      <c r="H433" s="90"/>
    </row>
    <row r="434" ht="15.75" customHeight="1">
      <c r="H434" s="90"/>
    </row>
    <row r="435" ht="15.75" customHeight="1">
      <c r="H435" s="90"/>
    </row>
    <row r="436" ht="15.75" customHeight="1">
      <c r="H436" s="90"/>
    </row>
    <row r="437" ht="15.75" customHeight="1">
      <c r="H437" s="90"/>
    </row>
    <row r="438" ht="15.75" customHeight="1">
      <c r="H438" s="90"/>
    </row>
    <row r="439" ht="15.75" customHeight="1">
      <c r="H439" s="90"/>
    </row>
    <row r="440" ht="15.75" customHeight="1">
      <c r="H440" s="90"/>
    </row>
    <row r="441" ht="15.75" customHeight="1">
      <c r="H441" s="90"/>
    </row>
    <row r="442" ht="15.75" customHeight="1">
      <c r="H442" s="90"/>
    </row>
    <row r="443" ht="15.75" customHeight="1">
      <c r="H443" s="90"/>
    </row>
    <row r="444" ht="15.75" customHeight="1">
      <c r="H444" s="90"/>
    </row>
    <row r="445" ht="15.75" customHeight="1">
      <c r="H445" s="90"/>
    </row>
    <row r="446" ht="15.75" customHeight="1">
      <c r="H446" s="90"/>
    </row>
    <row r="447" ht="15.75" customHeight="1">
      <c r="H447" s="90"/>
    </row>
    <row r="448" ht="15.75" customHeight="1">
      <c r="H448" s="90"/>
    </row>
    <row r="449" ht="15.75" customHeight="1">
      <c r="H449" s="90"/>
    </row>
    <row r="450" ht="15.75" customHeight="1">
      <c r="H450" s="90"/>
    </row>
    <row r="451" ht="15.75" customHeight="1">
      <c r="H451" s="90"/>
    </row>
    <row r="452" ht="15.75" customHeight="1">
      <c r="H452" s="90"/>
    </row>
    <row r="453" ht="15.75" customHeight="1">
      <c r="H453" s="90"/>
    </row>
    <row r="454" ht="15.75" customHeight="1">
      <c r="H454" s="90"/>
    </row>
    <row r="455" ht="15.75" customHeight="1">
      <c r="H455" s="90"/>
    </row>
    <row r="456" ht="15.75" customHeight="1">
      <c r="H456" s="90"/>
    </row>
    <row r="457" ht="15.75" customHeight="1">
      <c r="H457" s="90"/>
    </row>
    <row r="458" ht="15.75" customHeight="1">
      <c r="H458" s="90"/>
    </row>
    <row r="459" ht="15.75" customHeight="1">
      <c r="H459" s="90"/>
    </row>
    <row r="460" ht="15.75" customHeight="1">
      <c r="H460" s="90"/>
    </row>
    <row r="461" ht="15.75" customHeight="1">
      <c r="H461" s="90"/>
    </row>
    <row r="462" ht="15.75" customHeight="1">
      <c r="H462" s="90"/>
    </row>
    <row r="463" ht="15.75" customHeight="1">
      <c r="H463" s="90"/>
    </row>
    <row r="464" ht="15.75" customHeight="1">
      <c r="H464" s="90"/>
    </row>
    <row r="465" ht="15.75" customHeight="1">
      <c r="H465" s="90"/>
    </row>
    <row r="466" ht="15.75" customHeight="1">
      <c r="H466" s="90"/>
    </row>
    <row r="467" ht="15.75" customHeight="1">
      <c r="H467" s="90"/>
    </row>
    <row r="468" ht="15.75" customHeight="1">
      <c r="H468" s="90"/>
    </row>
    <row r="469" ht="15.75" customHeight="1">
      <c r="H469" s="90"/>
    </row>
    <row r="470" ht="15.75" customHeight="1">
      <c r="H470" s="90"/>
    </row>
    <row r="471" ht="15.75" customHeight="1">
      <c r="H471" s="90"/>
    </row>
    <row r="472" ht="15.75" customHeight="1">
      <c r="H472" s="90"/>
    </row>
    <row r="473" ht="15.75" customHeight="1">
      <c r="H473" s="90"/>
    </row>
    <row r="474" ht="15.75" customHeight="1">
      <c r="H474" s="90"/>
    </row>
    <row r="475" ht="15.75" customHeight="1">
      <c r="H475" s="90"/>
    </row>
    <row r="476" ht="15.75" customHeight="1">
      <c r="H476" s="90"/>
    </row>
    <row r="477" ht="15.75" customHeight="1">
      <c r="H477" s="90"/>
    </row>
    <row r="478" ht="15.75" customHeight="1">
      <c r="H478" s="90"/>
    </row>
    <row r="479" ht="15.75" customHeight="1">
      <c r="H479" s="90"/>
    </row>
    <row r="480" ht="15.75" customHeight="1">
      <c r="H480" s="90"/>
    </row>
    <row r="481" ht="15.75" customHeight="1">
      <c r="H481" s="90"/>
    </row>
    <row r="482" ht="15.75" customHeight="1">
      <c r="H482" s="90"/>
    </row>
    <row r="483" ht="15.75" customHeight="1">
      <c r="H483" s="90"/>
    </row>
    <row r="484" ht="15.75" customHeight="1">
      <c r="H484" s="90"/>
    </row>
    <row r="485" ht="15.75" customHeight="1">
      <c r="H485" s="90"/>
    </row>
    <row r="486" ht="15.75" customHeight="1">
      <c r="H486" s="90"/>
    </row>
    <row r="487" ht="15.75" customHeight="1">
      <c r="H487" s="90"/>
    </row>
    <row r="488" ht="15.75" customHeight="1">
      <c r="H488" s="90"/>
    </row>
    <row r="489" ht="15.75" customHeight="1">
      <c r="H489" s="90"/>
    </row>
    <row r="490" ht="15.75" customHeight="1">
      <c r="H490" s="90"/>
    </row>
    <row r="491" ht="15.75" customHeight="1">
      <c r="H491" s="90"/>
    </row>
    <row r="492" ht="15.75" customHeight="1">
      <c r="H492" s="90"/>
    </row>
    <row r="493" ht="15.75" customHeight="1">
      <c r="H493" s="90"/>
    </row>
    <row r="494" ht="15.75" customHeight="1">
      <c r="H494" s="90"/>
    </row>
    <row r="495" ht="15.75" customHeight="1">
      <c r="H495" s="90"/>
    </row>
    <row r="496" ht="15.75" customHeight="1">
      <c r="H496" s="90"/>
    </row>
    <row r="497" ht="15.75" customHeight="1">
      <c r="H497" s="90"/>
    </row>
    <row r="498" ht="15.75" customHeight="1">
      <c r="H498" s="90"/>
    </row>
    <row r="499" ht="15.75" customHeight="1">
      <c r="H499" s="90"/>
    </row>
    <row r="500" ht="15.75" customHeight="1">
      <c r="H500" s="90"/>
    </row>
    <row r="501" ht="15.75" customHeight="1">
      <c r="H501" s="90"/>
    </row>
    <row r="502" ht="15.75" customHeight="1">
      <c r="H502" s="90"/>
    </row>
    <row r="503" ht="15.75" customHeight="1">
      <c r="H503" s="90"/>
    </row>
    <row r="504" ht="15.75" customHeight="1">
      <c r="H504" s="90"/>
    </row>
    <row r="505" ht="15.75" customHeight="1">
      <c r="H505" s="90"/>
    </row>
    <row r="506" ht="15.75" customHeight="1">
      <c r="H506" s="90"/>
    </row>
    <row r="507" ht="15.75" customHeight="1">
      <c r="H507" s="90"/>
    </row>
    <row r="508" ht="15.75" customHeight="1">
      <c r="H508" s="90"/>
    </row>
    <row r="509" ht="15.75" customHeight="1">
      <c r="H509" s="90"/>
    </row>
    <row r="510" ht="15.75" customHeight="1">
      <c r="H510" s="90"/>
    </row>
    <row r="511" ht="15.75" customHeight="1">
      <c r="H511" s="90"/>
    </row>
    <row r="512" ht="15.75" customHeight="1">
      <c r="H512" s="90"/>
    </row>
    <row r="513" ht="15.75" customHeight="1">
      <c r="H513" s="90"/>
    </row>
    <row r="514" ht="15.75" customHeight="1">
      <c r="H514" s="90"/>
    </row>
    <row r="515" ht="15.75" customHeight="1">
      <c r="H515" s="90"/>
    </row>
    <row r="516" ht="15.75" customHeight="1">
      <c r="H516" s="90"/>
    </row>
    <row r="517" ht="15.75" customHeight="1">
      <c r="H517" s="90"/>
    </row>
    <row r="518" ht="15.75" customHeight="1">
      <c r="H518" s="90"/>
    </row>
    <row r="519" ht="15.75" customHeight="1">
      <c r="H519" s="90"/>
    </row>
    <row r="520" ht="15.75" customHeight="1">
      <c r="H520" s="90"/>
    </row>
    <row r="521" ht="15.75" customHeight="1">
      <c r="H521" s="90"/>
    </row>
    <row r="522" ht="15.75" customHeight="1">
      <c r="H522" s="90"/>
    </row>
    <row r="523" ht="15.75" customHeight="1">
      <c r="H523" s="90"/>
    </row>
    <row r="524" ht="15.75" customHeight="1">
      <c r="H524" s="90"/>
    </row>
    <row r="525" ht="15.75" customHeight="1">
      <c r="H525" s="90"/>
    </row>
    <row r="526" ht="15.75" customHeight="1">
      <c r="H526" s="90"/>
    </row>
    <row r="527" ht="15.75" customHeight="1">
      <c r="H527" s="90"/>
    </row>
    <row r="528" ht="15.75" customHeight="1">
      <c r="H528" s="90"/>
    </row>
    <row r="529" ht="15.75" customHeight="1">
      <c r="H529" s="90"/>
    </row>
    <row r="530" ht="15.75" customHeight="1">
      <c r="H530" s="90"/>
    </row>
    <row r="531" ht="15.75" customHeight="1">
      <c r="H531" s="90"/>
    </row>
    <row r="532" ht="15.75" customHeight="1">
      <c r="H532" s="90"/>
    </row>
    <row r="533" ht="15.75" customHeight="1">
      <c r="H533" s="90"/>
    </row>
    <row r="534" ht="15.75" customHeight="1">
      <c r="H534" s="90"/>
    </row>
    <row r="535" ht="15.75" customHeight="1">
      <c r="H535" s="90"/>
    </row>
    <row r="536" ht="15.75" customHeight="1">
      <c r="H536" s="90"/>
    </row>
    <row r="537" ht="15.75" customHeight="1">
      <c r="H537" s="90"/>
    </row>
    <row r="538" ht="15.75" customHeight="1">
      <c r="H538" s="90"/>
    </row>
    <row r="539" ht="15.75" customHeight="1">
      <c r="H539" s="90"/>
    </row>
    <row r="540" ht="15.75" customHeight="1">
      <c r="H540" s="90"/>
    </row>
    <row r="541" ht="15.75" customHeight="1">
      <c r="H541" s="90"/>
    </row>
    <row r="542" ht="15.75" customHeight="1">
      <c r="H542" s="90"/>
    </row>
    <row r="543" ht="15.75" customHeight="1">
      <c r="H543" s="90"/>
    </row>
    <row r="544" ht="15.75" customHeight="1">
      <c r="H544" s="90"/>
    </row>
    <row r="545" ht="15.75" customHeight="1">
      <c r="H545" s="90"/>
    </row>
    <row r="546" ht="15.75" customHeight="1">
      <c r="H546" s="90"/>
    </row>
    <row r="547" ht="15.75" customHeight="1">
      <c r="H547" s="90"/>
    </row>
    <row r="548" ht="15.75" customHeight="1">
      <c r="H548" s="90"/>
    </row>
    <row r="549" ht="15.75" customHeight="1">
      <c r="H549" s="90"/>
    </row>
    <row r="550" ht="15.75" customHeight="1">
      <c r="H550" s="90"/>
    </row>
    <row r="551" ht="15.75" customHeight="1">
      <c r="H551" s="90"/>
    </row>
    <row r="552" ht="15.75" customHeight="1">
      <c r="H552" s="90"/>
    </row>
    <row r="553" ht="15.75" customHeight="1">
      <c r="H553" s="90"/>
    </row>
    <row r="554" ht="15.75" customHeight="1">
      <c r="H554" s="90"/>
    </row>
    <row r="555" ht="15.75" customHeight="1">
      <c r="H555" s="90"/>
    </row>
    <row r="556" ht="15.75" customHeight="1">
      <c r="H556" s="90"/>
    </row>
    <row r="557" ht="15.75" customHeight="1">
      <c r="H557" s="90"/>
    </row>
    <row r="558" ht="15.75" customHeight="1">
      <c r="H558" s="90"/>
    </row>
    <row r="559" ht="15.75" customHeight="1">
      <c r="H559" s="90"/>
    </row>
    <row r="560" ht="15.75" customHeight="1">
      <c r="H560" s="90"/>
    </row>
    <row r="561" ht="15.75" customHeight="1">
      <c r="H561" s="90"/>
    </row>
    <row r="562" ht="15.75" customHeight="1">
      <c r="H562" s="90"/>
    </row>
    <row r="563" ht="15.75" customHeight="1">
      <c r="H563" s="90"/>
    </row>
    <row r="564" ht="15.75" customHeight="1">
      <c r="H564" s="90"/>
    </row>
    <row r="565" ht="15.75" customHeight="1">
      <c r="H565" s="90"/>
    </row>
    <row r="566" ht="15.75" customHeight="1">
      <c r="H566" s="90"/>
    </row>
    <row r="567" ht="15.75" customHeight="1">
      <c r="H567" s="90"/>
    </row>
    <row r="568" ht="15.75" customHeight="1">
      <c r="H568" s="90"/>
    </row>
    <row r="569" ht="15.75" customHeight="1">
      <c r="H569" s="90"/>
    </row>
    <row r="570" ht="15.75" customHeight="1">
      <c r="H570" s="90"/>
    </row>
    <row r="571" ht="15.75" customHeight="1">
      <c r="H571" s="90"/>
    </row>
    <row r="572" ht="15.75" customHeight="1">
      <c r="H572" s="90"/>
    </row>
    <row r="573" ht="15.75" customHeight="1">
      <c r="H573" s="90"/>
    </row>
    <row r="574" ht="15.75" customHeight="1">
      <c r="H574" s="90"/>
    </row>
    <row r="575" ht="15.75" customHeight="1">
      <c r="H575" s="90"/>
    </row>
    <row r="576" ht="15.75" customHeight="1">
      <c r="H576" s="90"/>
    </row>
    <row r="577" ht="15.75" customHeight="1">
      <c r="H577" s="90"/>
    </row>
    <row r="578" ht="15.75" customHeight="1">
      <c r="H578" s="90"/>
    </row>
    <row r="579" ht="15.75" customHeight="1">
      <c r="H579" s="90"/>
    </row>
    <row r="580" ht="15.75" customHeight="1">
      <c r="H580" s="90"/>
    </row>
    <row r="581" ht="15.75" customHeight="1">
      <c r="H581" s="90"/>
    </row>
    <row r="582" ht="15.75" customHeight="1">
      <c r="H582" s="90"/>
    </row>
    <row r="583" ht="15.75" customHeight="1">
      <c r="H583" s="90"/>
    </row>
    <row r="584" ht="15.75" customHeight="1">
      <c r="H584" s="90"/>
    </row>
    <row r="585" ht="15.75" customHeight="1">
      <c r="H585" s="90"/>
    </row>
    <row r="586" ht="15.75" customHeight="1">
      <c r="H586" s="90"/>
    </row>
    <row r="587" ht="15.75" customHeight="1">
      <c r="H587" s="90"/>
    </row>
    <row r="588" ht="15.75" customHeight="1">
      <c r="H588" s="90"/>
    </row>
    <row r="589" ht="15.75" customHeight="1">
      <c r="H589" s="90"/>
    </row>
    <row r="590" ht="15.75" customHeight="1">
      <c r="H590" s="90"/>
    </row>
    <row r="591" ht="15.75" customHeight="1">
      <c r="H591" s="90"/>
    </row>
    <row r="592" ht="15.75" customHeight="1">
      <c r="H592" s="90"/>
    </row>
    <row r="593" ht="15.75" customHeight="1">
      <c r="H593" s="90"/>
    </row>
    <row r="594" ht="15.75" customHeight="1">
      <c r="H594" s="90"/>
    </row>
    <row r="595" ht="15.75" customHeight="1">
      <c r="H595" s="90"/>
    </row>
    <row r="596" ht="15.75" customHeight="1">
      <c r="H596" s="90"/>
    </row>
    <row r="597" ht="15.75" customHeight="1">
      <c r="H597" s="90"/>
    </row>
    <row r="598" ht="15.75" customHeight="1">
      <c r="H598" s="90"/>
    </row>
    <row r="599" ht="15.75" customHeight="1">
      <c r="H599" s="90"/>
    </row>
    <row r="600" ht="15.75" customHeight="1">
      <c r="H600" s="90"/>
    </row>
    <row r="601" ht="15.75" customHeight="1">
      <c r="H601" s="90"/>
    </row>
    <row r="602" ht="15.75" customHeight="1">
      <c r="H602" s="90"/>
    </row>
    <row r="603" ht="15.75" customHeight="1">
      <c r="H603" s="90"/>
    </row>
    <row r="604" ht="15.75" customHeight="1">
      <c r="H604" s="90"/>
    </row>
    <row r="605" ht="15.75" customHeight="1">
      <c r="H605" s="90"/>
    </row>
    <row r="606" ht="15.75" customHeight="1">
      <c r="H606" s="90"/>
    </row>
    <row r="607" ht="15.75" customHeight="1">
      <c r="H607" s="90"/>
    </row>
    <row r="608" ht="15.75" customHeight="1">
      <c r="H608" s="90"/>
    </row>
    <row r="609" ht="15.75" customHeight="1">
      <c r="H609" s="90"/>
    </row>
    <row r="610" ht="15.75" customHeight="1">
      <c r="H610" s="90"/>
    </row>
    <row r="611" ht="15.75" customHeight="1">
      <c r="H611" s="90"/>
    </row>
    <row r="612" ht="15.75" customHeight="1">
      <c r="H612" s="90"/>
    </row>
    <row r="613" ht="15.75" customHeight="1">
      <c r="H613" s="90"/>
    </row>
    <row r="614" ht="15.75" customHeight="1">
      <c r="H614" s="90"/>
    </row>
    <row r="615" ht="15.75" customHeight="1">
      <c r="H615" s="90"/>
    </row>
    <row r="616" ht="15.75" customHeight="1">
      <c r="H616" s="90"/>
    </row>
    <row r="617" ht="15.75" customHeight="1">
      <c r="H617" s="90"/>
    </row>
    <row r="618" ht="15.75" customHeight="1">
      <c r="H618" s="90"/>
    </row>
    <row r="619" ht="15.75" customHeight="1">
      <c r="H619" s="90"/>
    </row>
    <row r="620" ht="15.75" customHeight="1">
      <c r="H620" s="90"/>
    </row>
    <row r="621" ht="15.75" customHeight="1">
      <c r="H621" s="90"/>
    </row>
    <row r="622" ht="15.75" customHeight="1">
      <c r="H622" s="90"/>
    </row>
    <row r="623" ht="15.75" customHeight="1">
      <c r="H623" s="90"/>
    </row>
    <row r="624" ht="15.75" customHeight="1">
      <c r="H624" s="90"/>
    </row>
    <row r="625" ht="15.75" customHeight="1">
      <c r="H625" s="90"/>
    </row>
    <row r="626" ht="15.75" customHeight="1">
      <c r="H626" s="90"/>
    </row>
    <row r="627" ht="15.75" customHeight="1">
      <c r="H627" s="90"/>
    </row>
    <row r="628" ht="15.75" customHeight="1">
      <c r="H628" s="90"/>
    </row>
    <row r="629" ht="15.75" customHeight="1">
      <c r="H629" s="90"/>
    </row>
    <row r="630" ht="15.75" customHeight="1">
      <c r="H630" s="90"/>
    </row>
    <row r="631" ht="15.75" customHeight="1">
      <c r="H631" s="90"/>
    </row>
    <row r="632" ht="15.75" customHeight="1">
      <c r="H632" s="90"/>
    </row>
    <row r="633" ht="15.75" customHeight="1">
      <c r="H633" s="90"/>
    </row>
    <row r="634" ht="15.75" customHeight="1">
      <c r="H634" s="90"/>
    </row>
    <row r="635" ht="15.75" customHeight="1">
      <c r="H635" s="90"/>
    </row>
    <row r="636" ht="15.75" customHeight="1">
      <c r="H636" s="90"/>
    </row>
    <row r="637" ht="15.75" customHeight="1">
      <c r="H637" s="90"/>
    </row>
    <row r="638" ht="15.75" customHeight="1">
      <c r="H638" s="90"/>
    </row>
    <row r="639" ht="15.75" customHeight="1">
      <c r="H639" s="90"/>
    </row>
    <row r="640" ht="15.75" customHeight="1">
      <c r="H640" s="90"/>
    </row>
    <row r="641" ht="15.75" customHeight="1">
      <c r="H641" s="90"/>
    </row>
    <row r="642" ht="15.75" customHeight="1">
      <c r="H642" s="90"/>
    </row>
    <row r="643" ht="15.75" customHeight="1">
      <c r="H643" s="90"/>
    </row>
    <row r="644" ht="15.75" customHeight="1">
      <c r="H644" s="90"/>
    </row>
    <row r="645" ht="15.75" customHeight="1">
      <c r="H645" s="90"/>
    </row>
    <row r="646" ht="15.75" customHeight="1">
      <c r="H646" s="90"/>
    </row>
    <row r="647" ht="15.75" customHeight="1">
      <c r="H647" s="90"/>
    </row>
    <row r="648" ht="15.75" customHeight="1">
      <c r="H648" s="90"/>
    </row>
    <row r="649" ht="15.75" customHeight="1">
      <c r="H649" s="90"/>
    </row>
    <row r="650" ht="15.75" customHeight="1">
      <c r="H650" s="90"/>
    </row>
    <row r="651" ht="15.75" customHeight="1">
      <c r="H651" s="90"/>
    </row>
    <row r="652" ht="15.75" customHeight="1">
      <c r="H652" s="90"/>
    </row>
    <row r="653" ht="15.75" customHeight="1">
      <c r="H653" s="90"/>
    </row>
    <row r="654" ht="15.75" customHeight="1">
      <c r="H654" s="90"/>
    </row>
    <row r="655" ht="15.75" customHeight="1">
      <c r="H655" s="90"/>
    </row>
    <row r="656" ht="15.75" customHeight="1">
      <c r="H656" s="90"/>
    </row>
    <row r="657" ht="15.75" customHeight="1">
      <c r="H657" s="90"/>
    </row>
    <row r="658" ht="15.75" customHeight="1">
      <c r="H658" s="90"/>
    </row>
    <row r="659" ht="15.75" customHeight="1">
      <c r="H659" s="90"/>
    </row>
    <row r="660" ht="15.75" customHeight="1">
      <c r="H660" s="90"/>
    </row>
    <row r="661" ht="15.75" customHeight="1">
      <c r="H661" s="90"/>
    </row>
    <row r="662" ht="15.75" customHeight="1">
      <c r="H662" s="90"/>
    </row>
    <row r="663" ht="15.75" customHeight="1">
      <c r="H663" s="90"/>
    </row>
    <row r="664" ht="15.75" customHeight="1">
      <c r="H664" s="90"/>
    </row>
    <row r="665" ht="15.75" customHeight="1">
      <c r="H665" s="90"/>
    </row>
    <row r="666" ht="15.75" customHeight="1">
      <c r="H666" s="90"/>
    </row>
    <row r="667" ht="15.75" customHeight="1">
      <c r="H667" s="90"/>
    </row>
    <row r="668" ht="15.75" customHeight="1">
      <c r="H668" s="90"/>
    </row>
    <row r="669" ht="15.75" customHeight="1">
      <c r="H669" s="90"/>
    </row>
    <row r="670" ht="15.75" customHeight="1">
      <c r="H670" s="90"/>
    </row>
    <row r="671" ht="15.75" customHeight="1">
      <c r="H671" s="90"/>
    </row>
    <row r="672" ht="15.75" customHeight="1">
      <c r="H672" s="90"/>
    </row>
    <row r="673" ht="15.75" customHeight="1">
      <c r="H673" s="90"/>
    </row>
    <row r="674" ht="15.75" customHeight="1">
      <c r="H674" s="90"/>
    </row>
    <row r="675" ht="15.75" customHeight="1">
      <c r="H675" s="90"/>
    </row>
    <row r="676" ht="15.75" customHeight="1">
      <c r="H676" s="90"/>
    </row>
    <row r="677" ht="15.75" customHeight="1">
      <c r="H677" s="90"/>
    </row>
    <row r="678" ht="15.75" customHeight="1">
      <c r="H678" s="90"/>
    </row>
    <row r="679" ht="15.75" customHeight="1">
      <c r="H679" s="90"/>
    </row>
    <row r="680" ht="15.75" customHeight="1">
      <c r="H680" s="90"/>
    </row>
    <row r="681" ht="15.75" customHeight="1">
      <c r="H681" s="90"/>
    </row>
    <row r="682" ht="15.75" customHeight="1">
      <c r="H682" s="90"/>
    </row>
    <row r="683" ht="15.75" customHeight="1">
      <c r="H683" s="90"/>
    </row>
    <row r="684" ht="15.75" customHeight="1">
      <c r="H684" s="90"/>
    </row>
    <row r="685" ht="15.75" customHeight="1">
      <c r="H685" s="90"/>
    </row>
    <row r="686" ht="15.75" customHeight="1">
      <c r="H686" s="90"/>
    </row>
    <row r="687" ht="15.75" customHeight="1">
      <c r="H687" s="90"/>
    </row>
    <row r="688" ht="15.75" customHeight="1">
      <c r="H688" s="90"/>
    </row>
    <row r="689" ht="15.75" customHeight="1">
      <c r="H689" s="90"/>
    </row>
    <row r="690" ht="15.75" customHeight="1">
      <c r="H690" s="90"/>
    </row>
    <row r="691" ht="15.75" customHeight="1">
      <c r="H691" s="90"/>
    </row>
    <row r="692" ht="15.75" customHeight="1">
      <c r="H692" s="90"/>
    </row>
    <row r="693" ht="15.75" customHeight="1">
      <c r="H693" s="90"/>
    </row>
    <row r="694" ht="15.75" customHeight="1">
      <c r="H694" s="90"/>
    </row>
    <row r="695" ht="15.75" customHeight="1">
      <c r="H695" s="90"/>
    </row>
    <row r="696" ht="15.75" customHeight="1">
      <c r="H696" s="90"/>
    </row>
    <row r="697" ht="15.75" customHeight="1">
      <c r="H697" s="90"/>
    </row>
    <row r="698" ht="15.75" customHeight="1">
      <c r="H698" s="90"/>
    </row>
    <row r="699" ht="15.75" customHeight="1">
      <c r="H699" s="90"/>
    </row>
    <row r="700" ht="15.75" customHeight="1">
      <c r="H700" s="90"/>
    </row>
    <row r="701" ht="15.75" customHeight="1">
      <c r="H701" s="90"/>
    </row>
    <row r="702" ht="15.75" customHeight="1">
      <c r="H702" s="90"/>
    </row>
    <row r="703" ht="15.75" customHeight="1">
      <c r="H703" s="90"/>
    </row>
    <row r="704" ht="15.75" customHeight="1">
      <c r="H704" s="90"/>
    </row>
    <row r="705" ht="15.75" customHeight="1">
      <c r="H705" s="90"/>
    </row>
    <row r="706" ht="15.75" customHeight="1">
      <c r="H706" s="90"/>
    </row>
    <row r="707" ht="15.75" customHeight="1">
      <c r="H707" s="90"/>
    </row>
    <row r="708" ht="15.75" customHeight="1">
      <c r="H708" s="90"/>
    </row>
    <row r="709" ht="15.75" customHeight="1">
      <c r="H709" s="90"/>
    </row>
    <row r="710" ht="15.75" customHeight="1">
      <c r="H710" s="90"/>
    </row>
    <row r="711" ht="15.75" customHeight="1">
      <c r="H711" s="90"/>
    </row>
    <row r="712" ht="15.75" customHeight="1">
      <c r="H712" s="90"/>
    </row>
    <row r="713" ht="15.75" customHeight="1">
      <c r="H713" s="90"/>
    </row>
    <row r="714" ht="15.75" customHeight="1">
      <c r="H714" s="90"/>
    </row>
    <row r="715" ht="15.75" customHeight="1">
      <c r="H715" s="90"/>
    </row>
    <row r="716" ht="15.75" customHeight="1">
      <c r="H716" s="90"/>
    </row>
    <row r="717" ht="15.75" customHeight="1">
      <c r="H717" s="90"/>
    </row>
    <row r="718" ht="15.75" customHeight="1">
      <c r="H718" s="90"/>
    </row>
    <row r="719" ht="15.75" customHeight="1">
      <c r="H719" s="90"/>
    </row>
    <row r="720" ht="15.75" customHeight="1">
      <c r="H720" s="90"/>
    </row>
    <row r="721" ht="15.75" customHeight="1">
      <c r="H721" s="90"/>
    </row>
    <row r="722" ht="15.75" customHeight="1">
      <c r="H722" s="90"/>
    </row>
    <row r="723" ht="15.75" customHeight="1">
      <c r="H723" s="90"/>
    </row>
    <row r="724" ht="15.75" customHeight="1">
      <c r="H724" s="90"/>
    </row>
    <row r="725" ht="15.75" customHeight="1">
      <c r="H725" s="90"/>
    </row>
    <row r="726" ht="15.75" customHeight="1">
      <c r="H726" s="90"/>
    </row>
    <row r="727" ht="15.75" customHeight="1">
      <c r="H727" s="90"/>
    </row>
    <row r="728" ht="15.75" customHeight="1">
      <c r="H728" s="90"/>
    </row>
    <row r="729" ht="15.75" customHeight="1">
      <c r="H729" s="90"/>
    </row>
    <row r="730" ht="15.75" customHeight="1">
      <c r="H730" s="90"/>
    </row>
    <row r="731" ht="15.75" customHeight="1">
      <c r="H731" s="90"/>
    </row>
    <row r="732" ht="15.75" customHeight="1">
      <c r="H732" s="90"/>
    </row>
    <row r="733" ht="15.75" customHeight="1">
      <c r="H733" s="90"/>
    </row>
    <row r="734" ht="15.75" customHeight="1">
      <c r="H734" s="90"/>
    </row>
    <row r="735" ht="15.75" customHeight="1">
      <c r="H735" s="90"/>
    </row>
    <row r="736" ht="15.75" customHeight="1">
      <c r="H736" s="90"/>
    </row>
    <row r="737" ht="15.75" customHeight="1">
      <c r="H737" s="90"/>
    </row>
    <row r="738" ht="15.75" customHeight="1">
      <c r="H738" s="90"/>
    </row>
    <row r="739" ht="15.75" customHeight="1">
      <c r="H739" s="90"/>
    </row>
    <row r="740" ht="15.75" customHeight="1">
      <c r="H740" s="90"/>
    </row>
    <row r="741" ht="15.75" customHeight="1">
      <c r="H741" s="90"/>
    </row>
    <row r="742" ht="15.75" customHeight="1">
      <c r="H742" s="90"/>
    </row>
    <row r="743" ht="15.75" customHeight="1">
      <c r="H743" s="90"/>
    </row>
    <row r="744" ht="15.75" customHeight="1">
      <c r="H744" s="90"/>
    </row>
    <row r="745" ht="15.75" customHeight="1">
      <c r="H745" s="90"/>
    </row>
    <row r="746" ht="15.75" customHeight="1">
      <c r="H746" s="90"/>
    </row>
    <row r="747" ht="15.75" customHeight="1">
      <c r="H747" s="90"/>
    </row>
    <row r="748" ht="15.75" customHeight="1">
      <c r="H748" s="90"/>
    </row>
    <row r="749" ht="15.75" customHeight="1">
      <c r="H749" s="90"/>
    </row>
    <row r="750" ht="15.75" customHeight="1">
      <c r="H750" s="90"/>
    </row>
    <row r="751" ht="15.75" customHeight="1">
      <c r="H751" s="90"/>
    </row>
    <row r="752" ht="15.75" customHeight="1">
      <c r="H752" s="90"/>
    </row>
    <row r="753" ht="15.75" customHeight="1">
      <c r="H753" s="90"/>
    </row>
    <row r="754" ht="15.75" customHeight="1">
      <c r="H754" s="90"/>
    </row>
    <row r="755" ht="15.75" customHeight="1">
      <c r="H755" s="90"/>
    </row>
    <row r="756" ht="15.75" customHeight="1">
      <c r="H756" s="90"/>
    </row>
    <row r="757" ht="15.75" customHeight="1">
      <c r="H757" s="90"/>
    </row>
    <row r="758" ht="15.75" customHeight="1">
      <c r="H758" s="90"/>
    </row>
    <row r="759" ht="15.75" customHeight="1">
      <c r="H759" s="90"/>
    </row>
    <row r="760" ht="15.75" customHeight="1">
      <c r="H760" s="90"/>
    </row>
    <row r="761" ht="15.75" customHeight="1">
      <c r="H761" s="90"/>
    </row>
    <row r="762" ht="15.75" customHeight="1">
      <c r="H762" s="90"/>
    </row>
    <row r="763" ht="15.75" customHeight="1">
      <c r="H763" s="90"/>
    </row>
    <row r="764" ht="15.75" customHeight="1">
      <c r="H764" s="90"/>
    </row>
    <row r="765" ht="15.75" customHeight="1">
      <c r="H765" s="90"/>
    </row>
    <row r="766" ht="15.75" customHeight="1">
      <c r="H766" s="90"/>
    </row>
    <row r="767" ht="15.75" customHeight="1">
      <c r="H767" s="90"/>
    </row>
    <row r="768" ht="15.75" customHeight="1">
      <c r="H768" s="90"/>
    </row>
    <row r="769" ht="15.75" customHeight="1">
      <c r="H769" s="90"/>
    </row>
    <row r="770" ht="15.75" customHeight="1">
      <c r="H770" s="90"/>
    </row>
    <row r="771" ht="15.75" customHeight="1">
      <c r="H771" s="90"/>
    </row>
    <row r="772" ht="15.75" customHeight="1">
      <c r="H772" s="90"/>
    </row>
    <row r="773" ht="15.75" customHeight="1">
      <c r="H773" s="90"/>
    </row>
    <row r="774" ht="15.75" customHeight="1">
      <c r="H774" s="90"/>
    </row>
    <row r="775" ht="15.75" customHeight="1">
      <c r="H775" s="90"/>
    </row>
    <row r="776" ht="15.75" customHeight="1">
      <c r="H776" s="90"/>
    </row>
    <row r="777" ht="15.75" customHeight="1">
      <c r="H777" s="90"/>
    </row>
    <row r="778" ht="15.75" customHeight="1">
      <c r="H778" s="90"/>
    </row>
    <row r="779" ht="15.75" customHeight="1">
      <c r="H779" s="90"/>
    </row>
    <row r="780" ht="15.75" customHeight="1">
      <c r="H780" s="90"/>
    </row>
    <row r="781" ht="15.75" customHeight="1">
      <c r="H781" s="90"/>
    </row>
    <row r="782" ht="15.75" customHeight="1">
      <c r="H782" s="90"/>
    </row>
    <row r="783" ht="15.75" customHeight="1">
      <c r="H783" s="90"/>
    </row>
    <row r="784" ht="15.75" customHeight="1">
      <c r="H784" s="90"/>
    </row>
    <row r="785" ht="15.75" customHeight="1">
      <c r="H785" s="90"/>
    </row>
    <row r="786" ht="15.75" customHeight="1">
      <c r="H786" s="90"/>
    </row>
    <row r="787" ht="15.75" customHeight="1">
      <c r="H787" s="90"/>
    </row>
    <row r="788" ht="15.75" customHeight="1">
      <c r="H788" s="90"/>
    </row>
    <row r="789" ht="15.75" customHeight="1">
      <c r="H789" s="90"/>
    </row>
    <row r="790" ht="15.75" customHeight="1">
      <c r="H790" s="90"/>
    </row>
    <row r="791" ht="15.75" customHeight="1">
      <c r="H791" s="90"/>
    </row>
    <row r="792" ht="15.75" customHeight="1">
      <c r="H792" s="90"/>
    </row>
    <row r="793" ht="15.75" customHeight="1">
      <c r="H793" s="90"/>
    </row>
    <row r="794" ht="15.75" customHeight="1">
      <c r="H794" s="90"/>
    </row>
    <row r="795" ht="15.75" customHeight="1">
      <c r="H795" s="90"/>
    </row>
    <row r="796" ht="15.75" customHeight="1">
      <c r="H796" s="90"/>
    </row>
    <row r="797" ht="15.75" customHeight="1">
      <c r="H797" s="90"/>
    </row>
    <row r="798" ht="15.75" customHeight="1">
      <c r="H798" s="90"/>
    </row>
    <row r="799" ht="15.75" customHeight="1">
      <c r="H799" s="90"/>
    </row>
    <row r="800" ht="15.75" customHeight="1">
      <c r="H800" s="90"/>
    </row>
    <row r="801" ht="15.75" customHeight="1">
      <c r="H801" s="90"/>
    </row>
    <row r="802" ht="15.75" customHeight="1">
      <c r="H802" s="90"/>
    </row>
    <row r="803" ht="15.75" customHeight="1">
      <c r="H803" s="90"/>
    </row>
    <row r="804" ht="15.75" customHeight="1">
      <c r="H804" s="90"/>
    </row>
    <row r="805" ht="15.75" customHeight="1">
      <c r="H805" s="90"/>
    </row>
    <row r="806" ht="15.75" customHeight="1">
      <c r="H806" s="90"/>
    </row>
    <row r="807" ht="15.75" customHeight="1">
      <c r="H807" s="90"/>
    </row>
    <row r="808" ht="15.75" customHeight="1">
      <c r="H808" s="90"/>
    </row>
    <row r="809" ht="15.75" customHeight="1">
      <c r="H809" s="90"/>
    </row>
    <row r="810" ht="15.75" customHeight="1">
      <c r="H810" s="90"/>
    </row>
    <row r="811" ht="15.75" customHeight="1">
      <c r="H811" s="90"/>
    </row>
    <row r="812" ht="15.75" customHeight="1">
      <c r="H812" s="90"/>
    </row>
    <row r="813" ht="15.75" customHeight="1">
      <c r="H813" s="90"/>
    </row>
    <row r="814" ht="15.75" customHeight="1">
      <c r="H814" s="90"/>
    </row>
    <row r="815" ht="15.75" customHeight="1">
      <c r="H815" s="90"/>
    </row>
    <row r="816" ht="15.75" customHeight="1">
      <c r="H816" s="90"/>
    </row>
    <row r="817" ht="15.75" customHeight="1">
      <c r="H817" s="90"/>
    </row>
    <row r="818" ht="15.75" customHeight="1">
      <c r="H818" s="90"/>
    </row>
    <row r="819" ht="15.75" customHeight="1">
      <c r="H819" s="90"/>
    </row>
    <row r="820" ht="15.75" customHeight="1">
      <c r="H820" s="90"/>
    </row>
    <row r="821" ht="15.75" customHeight="1">
      <c r="H821" s="90"/>
    </row>
    <row r="822" ht="15.75" customHeight="1">
      <c r="H822" s="90"/>
    </row>
    <row r="823" ht="15.75" customHeight="1">
      <c r="H823" s="90"/>
    </row>
    <row r="824" ht="15.75" customHeight="1">
      <c r="H824" s="90"/>
    </row>
    <row r="825" ht="15.75" customHeight="1">
      <c r="H825" s="90"/>
    </row>
    <row r="826" ht="15.75" customHeight="1">
      <c r="H826" s="90"/>
    </row>
    <row r="827" ht="15.75" customHeight="1">
      <c r="H827" s="90"/>
    </row>
    <row r="828" ht="15.75" customHeight="1">
      <c r="H828" s="90"/>
    </row>
    <row r="829" ht="15.75" customHeight="1">
      <c r="H829" s="90"/>
    </row>
    <row r="830" ht="15.75" customHeight="1">
      <c r="H830" s="90"/>
    </row>
    <row r="831" ht="15.75" customHeight="1">
      <c r="H831" s="90"/>
    </row>
    <row r="832" ht="15.75" customHeight="1">
      <c r="H832" s="90"/>
    </row>
    <row r="833" ht="15.75" customHeight="1">
      <c r="H833" s="90"/>
    </row>
    <row r="834" ht="15.75" customHeight="1">
      <c r="H834" s="90"/>
    </row>
    <row r="835" ht="15.75" customHeight="1">
      <c r="H835" s="90"/>
    </row>
    <row r="836" ht="15.75" customHeight="1">
      <c r="H836" s="90"/>
    </row>
    <row r="837" ht="15.75" customHeight="1">
      <c r="H837" s="90"/>
    </row>
    <row r="838" ht="15.75" customHeight="1">
      <c r="H838" s="90"/>
    </row>
    <row r="839" ht="15.75" customHeight="1">
      <c r="H839" s="90"/>
    </row>
    <row r="840" ht="15.75" customHeight="1">
      <c r="H840" s="90"/>
    </row>
    <row r="841" ht="15.75" customHeight="1">
      <c r="H841" s="90"/>
    </row>
    <row r="842" ht="15.75" customHeight="1">
      <c r="H842" s="90"/>
    </row>
    <row r="843" ht="15.75" customHeight="1">
      <c r="H843" s="90"/>
    </row>
    <row r="844" ht="15.75" customHeight="1">
      <c r="H844" s="90"/>
    </row>
    <row r="845" ht="15.75" customHeight="1">
      <c r="H845" s="90"/>
    </row>
    <row r="846" ht="15.75" customHeight="1">
      <c r="H846" s="90"/>
    </row>
    <row r="847" ht="15.75" customHeight="1">
      <c r="H847" s="90"/>
    </row>
    <row r="848" ht="15.75" customHeight="1">
      <c r="H848" s="90"/>
    </row>
    <row r="849" ht="15.75" customHeight="1">
      <c r="H849" s="90"/>
    </row>
    <row r="850" ht="15.75" customHeight="1">
      <c r="H850" s="90"/>
    </row>
    <row r="851" ht="15.75" customHeight="1">
      <c r="H851" s="90"/>
    </row>
    <row r="852" ht="15.75" customHeight="1">
      <c r="H852" s="90"/>
    </row>
    <row r="853" ht="15.75" customHeight="1">
      <c r="H853" s="90"/>
    </row>
    <row r="854" ht="15.75" customHeight="1">
      <c r="H854" s="90"/>
    </row>
    <row r="855" ht="15.75" customHeight="1">
      <c r="H855" s="90"/>
    </row>
    <row r="856" ht="15.75" customHeight="1">
      <c r="H856" s="90"/>
    </row>
    <row r="857" ht="15.75" customHeight="1">
      <c r="H857" s="90"/>
    </row>
    <row r="858" ht="15.75" customHeight="1">
      <c r="H858" s="90"/>
    </row>
    <row r="859" ht="15.75" customHeight="1">
      <c r="H859" s="90"/>
    </row>
    <row r="860" ht="15.75" customHeight="1">
      <c r="H860" s="90"/>
    </row>
    <row r="861" ht="15.75" customHeight="1">
      <c r="H861" s="90"/>
    </row>
    <row r="862" ht="15.75" customHeight="1">
      <c r="H862" s="90"/>
    </row>
    <row r="863" ht="15.75" customHeight="1">
      <c r="H863" s="90"/>
    </row>
    <row r="864" ht="15.75" customHeight="1">
      <c r="H864" s="90"/>
    </row>
    <row r="865" ht="15.75" customHeight="1">
      <c r="H865" s="90"/>
    </row>
    <row r="866" ht="15.75" customHeight="1">
      <c r="H866" s="90"/>
    </row>
    <row r="867" ht="15.75" customHeight="1">
      <c r="H867" s="90"/>
    </row>
    <row r="868" ht="15.75" customHeight="1">
      <c r="H868" s="90"/>
    </row>
    <row r="869" ht="15.75" customHeight="1">
      <c r="H869" s="90"/>
    </row>
    <row r="870" ht="15.75" customHeight="1">
      <c r="H870" s="90"/>
    </row>
    <row r="871" ht="15.75" customHeight="1">
      <c r="H871" s="90"/>
    </row>
    <row r="872" ht="15.75" customHeight="1">
      <c r="H872" s="90"/>
    </row>
    <row r="873" ht="15.75" customHeight="1">
      <c r="H873" s="90"/>
    </row>
    <row r="874" ht="15.75" customHeight="1">
      <c r="H874" s="90"/>
    </row>
    <row r="875" ht="15.75" customHeight="1">
      <c r="H875" s="90"/>
    </row>
    <row r="876" ht="15.75" customHeight="1">
      <c r="H876" s="90"/>
    </row>
    <row r="877" ht="15.75" customHeight="1">
      <c r="H877" s="90"/>
    </row>
    <row r="878" ht="15.75" customHeight="1">
      <c r="H878" s="90"/>
    </row>
    <row r="879" ht="15.75" customHeight="1">
      <c r="H879" s="90"/>
    </row>
    <row r="880" ht="15.75" customHeight="1">
      <c r="H880" s="90"/>
    </row>
    <row r="881" ht="15.75" customHeight="1">
      <c r="H881" s="90"/>
    </row>
    <row r="882" ht="15.75" customHeight="1">
      <c r="H882" s="90"/>
    </row>
    <row r="883" ht="15.75" customHeight="1">
      <c r="H883" s="90"/>
    </row>
    <row r="884" ht="15.75" customHeight="1">
      <c r="H884" s="90"/>
    </row>
    <row r="885" ht="15.75" customHeight="1">
      <c r="H885" s="90"/>
    </row>
    <row r="886" ht="15.75" customHeight="1">
      <c r="H886" s="90"/>
    </row>
    <row r="887" ht="15.75" customHeight="1">
      <c r="H887" s="90"/>
    </row>
    <row r="888" ht="15.75" customHeight="1">
      <c r="H888" s="90"/>
    </row>
    <row r="889" ht="15.75" customHeight="1">
      <c r="H889" s="90"/>
    </row>
    <row r="890" ht="15.75" customHeight="1">
      <c r="H890" s="90"/>
    </row>
    <row r="891" ht="15.75" customHeight="1">
      <c r="H891" s="90"/>
    </row>
    <row r="892" ht="15.75" customHeight="1">
      <c r="H892" s="90"/>
    </row>
    <row r="893" ht="15.75" customHeight="1">
      <c r="H893" s="90"/>
    </row>
    <row r="894" ht="15.75" customHeight="1">
      <c r="H894" s="90"/>
    </row>
    <row r="895" ht="15.75" customHeight="1">
      <c r="H895" s="90"/>
    </row>
    <row r="896" ht="15.75" customHeight="1">
      <c r="H896" s="90"/>
    </row>
    <row r="897" ht="15.75" customHeight="1">
      <c r="H897" s="90"/>
    </row>
    <row r="898" ht="15.75" customHeight="1">
      <c r="H898" s="90"/>
    </row>
    <row r="899" ht="15.75" customHeight="1">
      <c r="H899" s="90"/>
    </row>
    <row r="900" ht="15.75" customHeight="1">
      <c r="H900" s="90"/>
    </row>
    <row r="901" ht="15.75" customHeight="1">
      <c r="H901" s="90"/>
    </row>
    <row r="902" ht="15.75" customHeight="1">
      <c r="H902" s="90"/>
    </row>
    <row r="903" ht="15.75" customHeight="1">
      <c r="H903" s="90"/>
    </row>
    <row r="904" ht="15.75" customHeight="1">
      <c r="H904" s="90"/>
    </row>
    <row r="905" ht="15.75" customHeight="1">
      <c r="H905" s="90"/>
    </row>
    <row r="906" ht="15.75" customHeight="1">
      <c r="H906" s="90"/>
    </row>
    <row r="907" ht="15.75" customHeight="1">
      <c r="H907" s="90"/>
    </row>
    <row r="908" ht="15.75" customHeight="1">
      <c r="H908" s="90"/>
    </row>
    <row r="909" ht="15.75" customHeight="1">
      <c r="H909" s="90"/>
    </row>
    <row r="910" ht="15.75" customHeight="1">
      <c r="H910" s="90"/>
    </row>
    <row r="911" ht="15.75" customHeight="1">
      <c r="H911" s="90"/>
    </row>
    <row r="912" ht="15.75" customHeight="1">
      <c r="H912" s="90"/>
    </row>
    <row r="913" ht="15.75" customHeight="1">
      <c r="H913" s="90"/>
    </row>
    <row r="914" ht="15.75" customHeight="1">
      <c r="H914" s="90"/>
    </row>
    <row r="915" ht="15.75" customHeight="1">
      <c r="H915" s="90"/>
    </row>
    <row r="916" ht="15.75" customHeight="1">
      <c r="H916" s="90"/>
    </row>
    <row r="917" ht="15.75" customHeight="1">
      <c r="H917" s="90"/>
    </row>
    <row r="918" ht="15.75" customHeight="1">
      <c r="H918" s="90"/>
    </row>
    <row r="919" ht="15.75" customHeight="1">
      <c r="H919" s="90"/>
    </row>
    <row r="920" ht="15.75" customHeight="1">
      <c r="H920" s="90"/>
    </row>
    <row r="921" ht="15.75" customHeight="1">
      <c r="H921" s="90"/>
    </row>
    <row r="922" ht="15.75" customHeight="1">
      <c r="H922" s="90"/>
    </row>
    <row r="923" ht="15.75" customHeight="1">
      <c r="H923" s="90"/>
    </row>
    <row r="924" ht="15.75" customHeight="1">
      <c r="H924" s="90"/>
    </row>
    <row r="925" ht="15.75" customHeight="1">
      <c r="H925" s="90"/>
    </row>
    <row r="926" ht="15.75" customHeight="1">
      <c r="H926" s="90"/>
    </row>
    <row r="927" ht="15.75" customHeight="1">
      <c r="H927" s="90"/>
    </row>
    <row r="928" ht="15.75" customHeight="1">
      <c r="H928" s="90"/>
    </row>
    <row r="929" ht="15.75" customHeight="1">
      <c r="H929" s="90"/>
    </row>
    <row r="930" ht="15.75" customHeight="1">
      <c r="H930" s="90"/>
    </row>
    <row r="931" ht="15.75" customHeight="1">
      <c r="H931" s="90"/>
    </row>
    <row r="932" ht="15.75" customHeight="1">
      <c r="H932" s="90"/>
    </row>
    <row r="933" ht="15.75" customHeight="1">
      <c r="H933" s="90"/>
    </row>
    <row r="934" ht="15.75" customHeight="1">
      <c r="H934" s="90"/>
    </row>
    <row r="935" ht="15.75" customHeight="1">
      <c r="H935" s="90"/>
    </row>
    <row r="936" ht="15.75" customHeight="1">
      <c r="H936" s="90"/>
    </row>
    <row r="937" ht="15.75" customHeight="1">
      <c r="H937" s="90"/>
    </row>
    <row r="938" ht="15.75" customHeight="1">
      <c r="H938" s="90"/>
    </row>
    <row r="939" ht="15.75" customHeight="1">
      <c r="H939" s="90"/>
    </row>
    <row r="940" ht="15.75" customHeight="1">
      <c r="H940" s="90"/>
    </row>
    <row r="941" ht="15.75" customHeight="1">
      <c r="H941" s="90"/>
    </row>
    <row r="942" ht="15.75" customHeight="1">
      <c r="H942" s="90"/>
    </row>
    <row r="943" ht="15.75" customHeight="1">
      <c r="H943" s="90"/>
    </row>
    <row r="944" ht="15.75" customHeight="1">
      <c r="H944" s="90"/>
    </row>
    <row r="945" ht="15.75" customHeight="1">
      <c r="H945" s="90"/>
    </row>
    <row r="946" ht="15.75" customHeight="1">
      <c r="H946" s="90"/>
    </row>
    <row r="947" ht="15.75" customHeight="1">
      <c r="H947" s="90"/>
    </row>
    <row r="948" ht="15.75" customHeight="1">
      <c r="H948" s="90"/>
    </row>
    <row r="949" ht="15.75" customHeight="1">
      <c r="H949" s="90"/>
    </row>
    <row r="950" ht="15.75" customHeight="1">
      <c r="H950" s="90"/>
    </row>
    <row r="951" ht="15.75" customHeight="1">
      <c r="H951" s="90"/>
    </row>
    <row r="952" ht="15.75" customHeight="1">
      <c r="H952" s="90"/>
    </row>
    <row r="953" ht="15.75" customHeight="1">
      <c r="H953" s="90"/>
    </row>
    <row r="954" ht="15.75" customHeight="1">
      <c r="H954" s="90"/>
    </row>
    <row r="955" ht="15.75" customHeight="1">
      <c r="H955" s="90"/>
    </row>
    <row r="956" ht="15.75" customHeight="1">
      <c r="H956" s="90"/>
    </row>
    <row r="957" ht="15.75" customHeight="1">
      <c r="H957" s="90"/>
    </row>
    <row r="958" ht="15.75" customHeight="1">
      <c r="H958" s="90"/>
    </row>
    <row r="959" ht="15.75" customHeight="1">
      <c r="H959" s="90"/>
    </row>
    <row r="960" ht="15.75" customHeight="1">
      <c r="H960" s="90"/>
    </row>
    <row r="961" ht="15.75" customHeight="1">
      <c r="H961" s="90"/>
    </row>
    <row r="962" ht="15.75" customHeight="1">
      <c r="H962" s="90"/>
    </row>
    <row r="963" ht="15.75" customHeight="1">
      <c r="H963" s="90"/>
    </row>
    <row r="964" ht="15.75" customHeight="1">
      <c r="H964" s="90"/>
    </row>
    <row r="965" ht="15.75" customHeight="1">
      <c r="H965" s="90"/>
    </row>
    <row r="966" ht="15.75" customHeight="1">
      <c r="H966" s="90"/>
    </row>
    <row r="967" ht="15.75" customHeight="1">
      <c r="H967" s="90"/>
    </row>
    <row r="968" ht="15.75" customHeight="1">
      <c r="H968" s="90"/>
    </row>
    <row r="969" ht="15.75" customHeight="1">
      <c r="H969" s="90"/>
    </row>
    <row r="970" ht="15.75" customHeight="1">
      <c r="H970" s="90"/>
    </row>
    <row r="971" ht="15.75" customHeight="1">
      <c r="H971" s="90"/>
    </row>
    <row r="972" ht="15.75" customHeight="1">
      <c r="H972" s="90"/>
    </row>
    <row r="973" ht="15.75" customHeight="1">
      <c r="H973" s="90"/>
    </row>
    <row r="974" ht="15.75" customHeight="1">
      <c r="H974" s="90"/>
    </row>
    <row r="975" ht="15.75" customHeight="1">
      <c r="H975" s="90"/>
    </row>
    <row r="976" ht="15.75" customHeight="1">
      <c r="H976" s="90"/>
    </row>
    <row r="977" ht="15.75" customHeight="1">
      <c r="H977" s="90"/>
    </row>
    <row r="978" ht="15.75" customHeight="1">
      <c r="H978" s="90"/>
    </row>
    <row r="979" ht="15.75" customHeight="1">
      <c r="H979" s="90"/>
    </row>
    <row r="980" ht="15.75" customHeight="1">
      <c r="H980" s="90"/>
    </row>
    <row r="981" ht="15.75" customHeight="1">
      <c r="H981" s="90"/>
    </row>
    <row r="982" ht="15.75" customHeight="1">
      <c r="H982" s="90"/>
    </row>
    <row r="983" ht="15.75" customHeight="1">
      <c r="H983" s="90"/>
    </row>
    <row r="984" ht="15.75" customHeight="1">
      <c r="H984" s="90"/>
    </row>
    <row r="985" ht="15.75" customHeight="1">
      <c r="H985" s="90"/>
    </row>
    <row r="986" ht="15.75" customHeight="1">
      <c r="H986" s="90"/>
    </row>
    <row r="987" ht="15.75" customHeight="1">
      <c r="H987" s="90"/>
    </row>
    <row r="988" ht="15.75" customHeight="1">
      <c r="H988" s="90"/>
    </row>
    <row r="989" ht="15.75" customHeight="1">
      <c r="H989" s="90"/>
    </row>
    <row r="990" ht="15.75" customHeight="1">
      <c r="H990" s="90"/>
    </row>
    <row r="991" ht="15.75" customHeight="1">
      <c r="H991" s="90"/>
    </row>
    <row r="992" ht="15.75" customHeight="1">
      <c r="H992" s="90"/>
    </row>
    <row r="993" ht="15.75" customHeight="1">
      <c r="H993" s="90"/>
    </row>
    <row r="994" ht="15.75" customHeight="1">
      <c r="H994" s="90"/>
    </row>
    <row r="995" ht="15.75" customHeight="1">
      <c r="H995" s="90"/>
    </row>
  </sheetData>
  <mergeCells count="10">
    <mergeCell ref="C93:F93"/>
    <mergeCell ref="C119:F119"/>
    <mergeCell ref="I119:L119"/>
    <mergeCell ref="C1:N1"/>
    <mergeCell ref="A2:N2"/>
    <mergeCell ref="C3:F3"/>
    <mergeCell ref="I4:K4"/>
    <mergeCell ref="L4:N4"/>
    <mergeCell ref="C64:F64"/>
    <mergeCell ref="I93:L93"/>
  </mergeCells>
  <printOptions/>
  <pageMargins bottom="0.75" footer="0.0" header="0.0" left="0.25" right="0.25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2025-03-19T11:21:40Z</dcterms:created>
  <dc:creator>Grace</dc:creator>
</cp:coreProperties>
</file>